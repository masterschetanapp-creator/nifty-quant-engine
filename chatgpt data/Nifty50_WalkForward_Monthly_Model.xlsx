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396e2a44742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d7952cf04f9b4dbe"/>
    <x:sheet xmlns:r="http://schemas.openxmlformats.org/officeDocument/2006/relationships" name="Walk-Forward" sheetId="2" r:id="R88af521f29384c1e"/>
    <x:sheet xmlns:r="http://schemas.openxmlformats.org/officeDocument/2006/relationships" name="Model Metrics" sheetId="3" r:id="R4acae42833084638"/>
    <x:sheet xmlns:r="http://schemas.openxmlformats.org/officeDocument/2006/relationships" name="Current Forecast" sheetId="4" r:id="R7f5d5e892e1040d7"/>
    <x:sheet xmlns:r="http://schemas.openxmlformats.org/officeDocument/2006/relationships" name="Sources" sheetId="5" r:id="R1b9c99c781c945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"/>
    <x:numFmt numFmtId="201" formatCode="0.00%"/>
    <x:numFmt numFmtId="202" formatCode="#,##0.0"/>
    <x:numFmt numFmtId="203" formatCode="0.0%"/>
    <x:numFmt numFmtId="204" formatCode="dd-mmm-yyyy"/>
    <x:numFmt numFmtId="205" formatCode="0"/>
    <x:numFmt numFmtId="206" formatCode="0.000"/>
    <x:numFmt numFmtId="207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A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0"/>
    </x:xf>
    <x:xf numFmtId="0" fontId="5" fillId="2" borderId="1" xfId="0" applyNumberFormat="1" applyFont="1" applyFill="1" applyBorder="1" applyAlignment="1">
      <x:alignment horizontal="center" vertical="center" wrapText="0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7" fontId="0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172039c6c46f1" /><Relationship Type="http://schemas.openxmlformats.org/officeDocument/2006/relationships/theme" Target="/xl/theme/theme1.xml" Id="Rd310c210cea24a03" /><Relationship Type="http://schemas.openxmlformats.org/officeDocument/2006/relationships/sharedStrings" Target="/xl/sharedStrings.xml" Id="Re78a28b4c5884777" /><Relationship Type="http://schemas.openxmlformats.org/officeDocument/2006/relationships/worksheet" Target="/xl/worksheets/sheet1.xml" Id="Rd7952cf04f9b4dbe" /><Relationship Type="http://schemas.openxmlformats.org/officeDocument/2006/relationships/worksheet" Target="/xl/worksheets/sheet2.xml" Id="R88af521f29384c1e" /><Relationship Type="http://schemas.openxmlformats.org/officeDocument/2006/relationships/worksheet" Target="/xl/worksheets/sheet3.xml" Id="R4acae42833084638" /><Relationship Type="http://schemas.openxmlformats.org/officeDocument/2006/relationships/worksheet" Target="/xl/worksheets/sheet4.xml" Id="R7f5d5e892e1040d7" /><Relationship Type="http://schemas.openxmlformats.org/officeDocument/2006/relationships/worksheet" Target="/xl/worksheets/sheet5.xml" Id="R1b9c99c781c945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12389e6ce945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vs Ensemble — Monthly Walk-Forward</a:t>
            </a:r>
          </a:p>
        </c:rich>
      </c:tx>
    </c:title>
    <c:plotArea>
      <c:lineChart>
        <c:grouping val="standard"/>
        <c:ser>
          <c:idx val="0"/>
          <c:order val="0"/>
          <c:tx>
            <c:v>Actual %</c:v>
          </c:tx>
          <c:marker>
            <c:symbol val="none"/>
          </c:marker>
          <c:cat>
            <c:strRef>
              <c:f>'Walk-Forward'!$B$2:$B$60</c:f>
              <c:strCache>
                <c:ptCount val="0"/>
              </c:strCache>
            </c:strRef>
          </c:cat>
          <c:val>
            <c:numRef>
              <c:f>'Walk-Forward'!$C$2:$C$60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Ensemble %</c:v>
          </c:tx>
          <c:marker>
            <c:symbol val="none"/>
          </c:marker>
          <c:cat>
            <c:strRef>
              <c:f>'Walk-Forward'!$B$2:$B$60</c:f>
              <c:strCache>
                <c:ptCount val="0"/>
              </c:strCache>
            </c:strRef>
          </c:cat>
          <c:val>
            <c:numRef>
              <c:f>'Walk-Forward'!$D$2:$D$60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12389e6ce945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e1bd67540d40f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4" hidden="0" customWidth="1"/>
    <x:col min="4" max="4" width="28" hidden="0" customWidth="1"/>
    <x:col min="5" max="5" width="22" hidden="0" customWidth="1"/>
    <x:col min="6" max="6" width="28" hidden="0" customWidth="1"/>
    <x:col min="7" max="7" width="30" hidden="0" customWidth="1"/>
    <x:col min="8" max="8" width="14" hidden="0" customWidth="1"/>
  </x:cols>
  <x:sheetData>
    <x:row r="1">
      <x:c r="A1" s="50" t="str">
        <x:v>NIFTY 50 — Walk-Forward Monthly Prediction Research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2" t="str">
        <x:v>Research objective: forecast next-month Nifty 50 return without hindsight, reveal actual, measure error, then adapt the model sequentially.</x:v>
      </x:c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53" t="str">
        <x:v>Current forecast origin</x:v>
      </x:c>
      <x:c r="B5" s="51" t="str">
        <x:v>28-Sep-2026 (latest completed session used)</x:v>
      </x:c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3" t="str">
        <x:v>Nifty 50 close</x:v>
      </x:c>
      <x:c r="B6" s="54" t="n">
        <x:v>22780.25</x:v>
      </x:c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3" t="str">
        <x:v>Target month</x:v>
      </x:c>
      <x:c r="B7" s="54" t="str">
        <x:v>October 2026</x:v>
      </x:c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3" t="str">
        <x:v>Ensemble forecast</x:v>
      </x:c>
      <x:c r="B8" s="55" t="n">
        <x:v>0.01291242723039706</x:v>
      </x:c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3" t="str">
        <x:v>Implied Nifty level</x:v>
      </x:c>
      <x:c r="B9" s="56" t="n">
        <x:v>23074.398320415254</x:v>
      </x:c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3" t="str">
        <x:v>Historical MAE</x:v>
      </x:c>
      <x:c r="B10" s="54" t="n">
        <x:v>3.0367322815551963</x:v>
      </x:c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3" t="str">
        <x:v>Historical RMSE</x:v>
      </x:c>
      <x:c r="B11" s="54" t="n">
        <x:v>3.9218355957794153</x:v>
      </x:c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3" t="str">
        <x:v>Historical direction accuracy</x:v>
      </x:c>
      <x:c r="B12" s="81" t="n">
        <x:v>61.016949152542374</x:v>
      </x:c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8" t="str">
        <x:v>Model architecture</x:v>
      </x:c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 ht="15" hidden="0" customHeight="1">
      <x:c r="A15" s="82" t="str">
        <x:v>Layer</x:v>
      </x:c>
      <x:c r="B15" s="82" t="str">
        <x:v>Purpose</x:v>
      </x:c>
      <x:c r="C15" s="82" t="str">
        <x:v>Variables / method</x:v>
      </x:c>
      <x:c r="D15" s="82" t="str">
        <x:v>Leakage control</x:v>
      </x:c>
      <x:c r="E15" s="82" t="str">
        <x:v>Update rule</x:v>
      </x:c>
      <x:c r="F15" s="82" t="str">
        <x:v>Why included</x:v>
      </x:c>
      <x:c r="G15" s="82" t="str">
        <x:v>Main weakness</x:v>
      </x:c>
      <x:c r="H15" s="82" t="str">
        <x:v>Status</x:v>
      </x:c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 ht="85" hidden="0" customHeight="1">
      <x:c r="A16" s="59" t="str">
        <x:v>Feature engine</x:v>
      </x:c>
      <x:c r="B16" s="59" t="str">
        <x:v>Convert monthly history into predictive state</x:v>
      </x:c>
      <x:c r="C16" s="59" t="str">
        <x:v>12 lags, 1/2/3/6/9/12m means, cumulative momentum, volatility, drawdown, streaks, slopes, autocorrelation, calendar seasonality</x:v>
      </x:c>
      <x:c r="D16" s="59" t="str">
        <x:v>Uses history through origin only</x:v>
      </x:c>
      <x:c r="E16" s="59" t="str">
        <x:v>Recomputed every origin</x:v>
      </x:c>
      <x:c r="F16" s="59" t="str">
        <x:v>Captures momentum + mean-reversion geometry</x:v>
      </x:c>
      <x:c r="G16" s="59" t="str">
        <x:v>Monthly sample is small</x:v>
      </x:c>
      <x:c r="H16" s="59" t="str">
        <x:v>Active</x:v>
      </x:c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 ht="85" hidden="0" customHeight="1">
      <x:c r="A17" s="59" t="str">
        <x:v>External factors</x:v>
      </x:c>
      <x:c r="B17" s="59" t="str">
        <x:v>Add cross-market context</x:v>
      </x:c>
      <x:c r="C17" s="59" t="str">
        <x:v>S&amp;P 500, Brent, Gold, USDINR, CBOE VIX, CSI300 monthly returns</x:v>
      </x:c>
      <x:c r="D17" s="59" t="str">
        <x:v>Only lagged/previously available monthly data</x:v>
      </x:c>
      <x:c r="E17" s="59" t="str">
        <x:v>Recomputed every origin</x:v>
      </x:c>
      <x:c r="F17" s="59" t="str">
        <x:v>Tests whether global/macrofactor state helps</x:v>
      </x:c>
      <x:c r="G17" s="59" t="str">
        <x:v>Synchronization/data-quality limitations</x:v>
      </x:c>
      <x:c r="H17" s="59" t="str">
        <x:v>Active</x:v>
      </x:c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 ht="85" hidden="0" customHeight="1">
      <x:c r="A18" s="59" t="str">
        <x:v>Experts</x:v>
      </x:c>
      <x:c r="B18" s="59" t="str">
        <x:v>Nonlinear + linear forecasts</x:v>
      </x:c>
      <x:c r="C18" s="59" t="str">
        <x:v>Ridge, ElasticNet, ExtraTrees, HistGradientBoosting, XGBoost, regime analog</x:v>
      </x:c>
      <x:c r="D18" s="59" t="str">
        <x:v>Each is refit using pre-origin data</x:v>
      </x:c>
      <x:c r="E18" s="59" t="str">
        <x:v>Refit each month</x:v>
      </x:c>
      <x:c r="F18" s="59" t="str">
        <x:v>Reduces dependence on one functional form</x:v>
      </x:c>
      <x:c r="G18" s="59" t="str">
        <x:v>Complexity can overfit</x:v>
      </x:c>
      <x:c r="H18" s="59" t="str">
        <x:v>Active</x:v>
      </x:c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 ht="85" hidden="0" customHeight="1">
      <x:c r="A19" s="59" t="str">
        <x:v>Adaptive ensemble</x:v>
      </x:c>
      <x:c r="B19" s="59" t="str">
        <x:v>Weight stronger recent experts</x:v>
      </x:c>
      <x:c r="C19" s="59" t="str">
        <x:v>Inverse rolling MAE over prior 24 OOS forecasts, with weight floor</x:v>
      </x:c>
      <x:c r="D19" s="59" t="str">
        <x:v>Weights use only prior forecast errors</x:v>
      </x:c>
      <x:c r="E19" s="59" t="str">
        <x:v>Updated monthly</x:v>
      </x:c>
      <x:c r="F19" s="59" t="str">
        <x:v>Allows model weights to adapt to regime change</x:v>
      </x:c>
      <x:c r="G19" s="59" t="str">
        <x:v>Still cannot forecast unknown shocks</x:v>
      </x:c>
      <x:c r="H19" s="59" t="str">
        <x:v>Active</x:v>
      </x:c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 ht="85" hidden="0" customHeight="1">
      <x:c r="A20" s="59" t="str">
        <x:v>Shock logic</x:v>
      </x:c>
      <x:c r="B20" s="59" t="str">
        <x:v>Separate model error from surprise events</x:v>
      </x:c>
      <x:c r="C20" s="59" t="str">
        <x:v>Error review + regime analogs; do not force point forecast to extremes</x:v>
      </x:c>
      <x:c r="D20" s="59" t="str">
        <x:v>Post-hoc diagnostic only</x:v>
      </x:c>
      <x:c r="E20" s="59" t="str">
        <x:v>Used for model correction, not hindsight forecast</x:v>
      </x:c>
      <x:c r="F20" s="59" t="str">
        <x:v>Identifies where the model structurally fails</x:v>
      </x:c>
      <x:c r="G20" s="59" t="str">
        <x:v>Tail events remain hard</x:v>
      </x:c>
      <x:c r="H20" s="59" t="str">
        <x:v>Research layer</x:v>
      </x:c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 ht="85" hidden="0" customHeight="1">
      <x:c r="A21" s="59" t="str">
        <x:v>Current output</x:v>
      </x:c>
      <x:c r="B21" s="59" t="str">
        <x:v>October 2026 point forecast</x:v>
      </x:c>
      <x:c r="C21" s="59" t="str">
        <x:v>Ensemble + component dispersion</x:v>
      </x:c>
      <x:c r="D21" s="59" t="str">
        <x:v>Uses data through 28-Sep-2026</x:v>
      </x:c>
      <x:c r="E21" s="59" t="str">
        <x:v>Next update after Oct closes</x:v>
      </x:c>
      <x:c r="F21" s="59" t="str">
        <x:v>Keeps the live forecast frozen</x:v>
      </x:c>
      <x:c r="G21" s="59" t="str">
        <x:v>Not an investment guarantee</x:v>
      </x:c>
      <x:c r="H21" s="59" t="str">
        <x:v>Live</x:v>
      </x:c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mergeCells>
    <x:mergeCell ref="A1:H1"/>
    <x:mergeCell ref="A3:H3"/>
    <x:mergeCell ref="A14:H14"/>
  </x:mergeCells>
  <x:pageMargins left="0.7" right="0.7" top="0.75" bottom="0.75" header="0.3" footer="0.3"/>
  <x:drawing xmlns:r="http://schemas.openxmlformats.org/officeDocument/2006/relationships" r:id="Rfee1bd67540d40ff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13" hidden="0" customWidth="1"/>
    <x:col min="5" max="5" width="11" hidden="0" customWidth="1"/>
    <x:col min="6" max="6" width="13" hidden="0" customWidth="1"/>
    <x:col min="7" max="7" width="14" hidden="0" customWidth="1"/>
    <x:col min="8" max="8" width="12" hidden="0" customWidth="1"/>
    <x:col min="9" max="9" width="11" hidden="0" customWidth="1"/>
    <x:col min="10" max="10" width="14" hidden="0" customWidth="1"/>
    <x:col min="11" max="11" width="13" hidden="0" customWidth="1"/>
    <x:col min="12" max="12" width="10" hidden="0" customWidth="1"/>
    <x:col min="13" max="13" width="11" hidden="0" customWidth="1"/>
    <x:col min="14" max="14" width="15" hidden="0" customWidth="1"/>
  </x:cols>
  <x:sheetData>
    <x:row r="1" ht="22" customHeight="1">
      <x:c r="A1" s="42" t="str">
        <x:v>Origin</x:v>
      </x:c>
      <x:c r="B1" s="42" t="str">
        <x:v>Target</x:v>
      </x:c>
      <x:c r="C1" s="42" t="str">
        <x:v>Actual %</x:v>
      </x:c>
      <x:c r="D1" s="42" t="str">
        <x:v>Ensemble %</x:v>
      </x:c>
      <x:c r="E1" s="42" t="str">
        <x:v>Error pp</x:v>
      </x:c>
      <x:c r="F1" s="42" t="str">
        <x:v>Abs Error pp</x:v>
      </x:c>
      <x:c r="G1" s="42" t="str">
        <x:v>Direction Correct</x:v>
      </x:c>
      <x:c r="H1" s="42" t="str">
        <x:v>Seasonal %</x:v>
      </x:c>
      <x:c r="I1" s="42" t="str">
        <x:v>Ridge %</x:v>
      </x:c>
      <x:c r="J1" s="42" t="str">
        <x:v>ElasticNet %</x:v>
      </x:c>
      <x:c r="K1" s="42" t="str">
        <x:v>ExtraTrees %</x:v>
      </x:c>
      <x:c r="L1" s="42" t="str">
        <x:v>HistGB %</x:v>
      </x:c>
      <x:c r="M1" s="42" t="str">
        <x:v>XGBoost %</x:v>
      </x:c>
      <x:c r="N1" s="42" t="str">
        <x:v>Regime Analog %</x:v>
      </x:c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70" t="n">
        <x:v>44470</x:v>
      </x:c>
      <x:c r="B2" s="70" t="n">
        <x:v>44501</x:v>
      </x:c>
      <x:c r="C2" s="54" t="n">
        <x:v>-3.9</x:v>
      </x:c>
      <x:c r="D2" s="54" t="n">
        <x:v>-0.4897509770050177</x:v>
      </x:c>
      <x:c r="E2" s="54" t="n">
        <x:f>C2-D2</x:f>
        <x:v>-3.4102490229949822</x:v>
      </x:c>
      <x:c r="F2" s="54" t="n">
        <x:f>ABS(E2)</x:f>
        <x:v>3.4102490229949822</x:v>
      </x:c>
      <x:c r="G2" s="71" t="n">
        <x:f>IF(SIGN(C2)=SIGN(D2),1,0)</x:f>
        <x:v>1</x:v>
      </x:c>
      <x:c r="H2" s="54" t="n">
        <x:v>0.65</x:v>
      </x:c>
      <x:c r="I2" s="54" t="n">
        <x:v>-8.686244296597478</x:v>
      </x:c>
      <x:c r="J2" s="54" t="n">
        <x:v>-2.3727116694385826</x:v>
      </x:c>
      <x:c r="K2" s="54" t="n">
        <x:v>0.9131148562741437</x:v>
      </x:c>
      <x:c r="L2" s="54" t="n">
        <x:v>2.671604569028968</x:v>
      </x:c>
      <x:c r="M2" s="54" t="n">
        <x:v>1.6639797016978264</x:v>
      </x:c>
      <x:c r="N2" s="54" t="n">
        <x:v>1.7320000000000002</x:v>
      </x:c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70" t="n">
        <x:v>44501</x:v>
      </x:c>
      <x:c r="B3" s="70" t="n">
        <x:v>44531</x:v>
      </x:c>
      <x:c r="C3" s="54" t="n">
        <x:v>2.2</x:v>
      </x:c>
      <x:c r="D3" s="54" t="n">
        <x:v>-1.2250968232336088</x:v>
      </x:c>
      <x:c r="E3" s="54" t="n">
        <x:f>C3-D3</x:f>
        <x:v>3.425096823233609</x:v>
      </x:c>
      <x:c r="F3" s="54" t="n">
        <x:f>ABS(E3)</x:f>
        <x:v>3.425096823233609</x:v>
      </x:c>
      <x:c r="G3" s="71" t="n">
        <x:f>IF(SIGN(C3)=SIGN(D3),1,0)</x:f>
        <x:v>0</x:v>
      </x:c>
      <x:c r="H3" s="54" t="n">
        <x:v>-1</x:v>
      </x:c>
      <x:c r="I3" s="54" t="n">
        <x:v>-4.6714822642329015</x:v>
      </x:c>
      <x:c r="J3" s="54" t="n">
        <x:v>-3.089496097351378</x:v>
      </x:c>
      <x:c r="K3" s="54" t="n">
        <x:v>-0.05844596455745715</x:v>
      </x:c>
      <x:c r="L3" s="54" t="n">
        <x:v>-1.4618420780537968</x:v>
      </x:c>
      <x:c r="M3" s="54" t="n">
        <x:v>0.14471907634288073</x:v>
      </x:c>
      <x:c r="N3" s="54" t="n">
        <x:v>1.5608695652173914</x:v>
      </x:c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70" t="n">
        <x:v>44531</x:v>
      </x:c>
      <x:c r="B4" s="70" t="n">
        <x:v>44562</x:v>
      </x:c>
      <x:c r="C4" s="54" t="n">
        <x:v>-0.1</x:v>
      </x:c>
      <x:c r="D4" s="54" t="n">
        <x:v>-0.39545794471625256</x:v>
      </x:c>
      <x:c r="E4" s="54" t="n">
        <x:f>C4-D4</x:f>
        <x:v>0.29545794471625253</x:v>
      </x:c>
      <x:c r="F4" s="54" t="n">
        <x:f>ABS(E4)</x:f>
        <x:v>0.29545794471625253</x:v>
      </x:c>
      <x:c r="G4" s="71" t="n">
        <x:f>IF(SIGN(C4)=SIGN(D4),1,0)</x:f>
        <x:v>1</x:v>
      </x:c>
      <x:c r="H4" s="54" t="n">
        <x:v>0</x:v>
      </x:c>
      <x:c r="I4" s="54" t="n">
        <x:v>-2.6989021558550204</x:v>
      </x:c>
      <x:c r="J4" s="54" t="n">
        <x:v>-2.7578099190865597</x:v>
      </x:c>
      <x:c r="K4" s="54" t="n">
        <x:v>0.3076225633124998</x:v>
      </x:c>
      <x:c r="L4" s="54" t="n">
        <x:v>1.1902885812373496</x:v>
      </x:c>
      <x:c r="M4" s="54" t="n">
        <x:v>-0.2866774098947644</x:v>
      </x:c>
      <x:c r="N4" s="54" t="n">
        <x:v>1.4772727272727273</x:v>
      </x:c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70" t="n">
        <x:v>44562</x:v>
      </x:c>
      <x:c r="B5" s="70" t="n">
        <x:v>44593</x:v>
      </x:c>
      <x:c r="C5" s="54" t="n">
        <x:v>-3.1</x:v>
      </x:c>
      <x:c r="D5" s="54" t="n">
        <x:v>2.241093894760392</x:v>
      </x:c>
      <x:c r="E5" s="54" t="n">
        <x:f>C5-D5</x:f>
        <x:v>-5.341093894760392</x:v>
      </x:c>
      <x:c r="F5" s="54" t="n">
        <x:f>ABS(E5)</x:f>
        <x:v>5.341093894760392</x:v>
      </x:c>
      <x:c r="G5" s="71" t="n">
        <x:f>IF(SIGN(C5)=SIGN(D5),1,0)</x:f>
        <x:v>0</x:v>
      </x:c>
      <x:c r="H5" s="54" t="n">
        <x:v>2.2</x:v>
      </x:c>
      <x:c r="I5" s="54" t="n">
        <x:v>7.352076378607532</x:v>
      </x:c>
      <x:c r="J5" s="54" t="n">
        <x:v>5.380422960424694</x:v>
      </x:c>
      <x:c r="K5" s="54" t="n">
        <x:v>0.6290699811122401</x:v>
      </x:c>
      <x:c r="L5" s="54" t="n">
        <x:v>-1.1986548877744412</x:v>
      </x:c>
      <x:c r="M5" s="54" t="n">
        <x:v>-0.51335240714252</x:v>
      </x:c>
      <x:c r="N5" s="54" t="n">
        <x:v>1.8380952380952382</x:v>
      </x:c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70" t="n">
        <x:v>44593</x:v>
      </x:c>
      <x:c r="B6" s="70" t="n">
        <x:v>44621</x:v>
      </x:c>
      <x:c r="C6" s="54" t="n">
        <x:v>4</x:v>
      </x:c>
      <x:c r="D6" s="54" t="n">
        <x:v>0.15706434492934584</x:v>
      </x:c>
      <x:c r="E6" s="54" t="n">
        <x:f>C6-D6</x:f>
        <x:v>3.8429356550706544</x:v>
      </x:c>
      <x:c r="F6" s="54" t="n">
        <x:f>ABS(E6)</x:f>
        <x:v>3.8429356550706544</x:v>
      </x:c>
      <x:c r="G6" s="71" t="n">
        <x:f>IF(SIGN(C6)=SIGN(D6),1,0)</x:f>
        <x:v>1</x:v>
      </x:c>
      <x:c r="H6" s="54" t="n">
        <x:v>0.9999999999999999</x:v>
      </x:c>
      <x:c r="I6" s="54" t="n">
        <x:v>0.5761123463135622</x:v>
      </x:c>
      <x:c r="J6" s="54" t="n">
        <x:v>-1.6355706876110838</x:v>
      </x:c>
      <x:c r="K6" s="54" t="n">
        <x:v>0.324981963907655</x:v>
      </x:c>
      <x:c r="L6" s="54" t="n">
        <x:v>-0.9002584072902412</x:v>
      </x:c>
      <x:c r="M6" s="54" t="n">
        <x:v>0.20691247191280127</x:v>
      </x:c>
      <x:c r="N6" s="54" t="n">
        <x:v>1.5272727272727273</x:v>
      </x:c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70" t="n">
        <x:v>44621</x:v>
      </x:c>
      <x:c r="B7" s="70" t="n">
        <x:v>44652</x:v>
      </x:c>
      <x:c r="C7" s="54" t="n">
        <x:v>-2.1</x:v>
      </x:c>
      <x:c r="D7" s="54" t="n">
        <x:v>2.4122063096887807</x:v>
      </x:c>
      <x:c r="E7" s="54" t="n">
        <x:f>C7-D7</x:f>
        <x:v>-4.51220630968878</x:v>
      </x:c>
      <x:c r="F7" s="54" t="n">
        <x:f>ABS(E7)</x:f>
        <x:v>4.51220630968878</x:v>
      </x:c>
      <x:c r="G7" s="71" t="n">
        <x:f>IF(SIGN(C7)=SIGN(D7),1,0)</x:f>
        <x:v>0</x:v>
      </x:c>
      <x:c r="H7" s="54" t="n">
        <x:v>1.2</x:v>
      </x:c>
      <x:c r="I7" s="54" t="n">
        <x:v>10.956057104641994</x:v>
      </x:c>
      <x:c r="J7" s="54" t="n">
        <x:v>1.2130297981753964</x:v>
      </x:c>
      <x:c r="K7" s="54" t="n">
        <x:v>0.6701648001822923</x:v>
      </x:c>
      <x:c r="L7" s="54" t="n">
        <x:v>0.3876582866055744</x:v>
      </x:c>
      <x:c r="M7" s="54" t="n">
        <x:v>0.8690604940056801</x:v>
      </x:c>
      <x:c r="N7" s="54" t="n">
        <x:v>1.5894736842105264</x:v>
      </x:c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70" t="n">
        <x:v>44652</x:v>
      </x:c>
      <x:c r="B8" s="70" t="n">
        <x:v>44682</x:v>
      </x:c>
      <x:c r="C8" s="54" t="n">
        <x:v>-3</x:v>
      </x:c>
      <x:c r="D8" s="54" t="n">
        <x:v>1.3714064477934262</x:v>
      </x:c>
      <x:c r="E8" s="54" t="n">
        <x:f>C8-D8</x:f>
        <x:v>-4.371406447793426</x:v>
      </x:c>
      <x:c r="F8" s="54" t="n">
        <x:f>ABS(E8)</x:f>
        <x:v>4.371406447793426</x:v>
      </x:c>
      <x:c r="G8" s="71" t="n">
        <x:f>IF(SIGN(C8)=SIGN(D8),1,0)</x:f>
        <x:v>0</x:v>
      </x:c>
      <x:c r="H8" s="54" t="n">
        <x:v>1.25</x:v>
      </x:c>
      <x:c r="I8" s="54" t="n">
        <x:v>10.34826970952939</x:v>
      </x:c>
      <x:c r="J8" s="54" t="n">
        <x:v>0.020339907897064247</x:v>
      </x:c>
      <x:c r="K8" s="54" t="n">
        <x:v>-0.10950948273854832</x:v>
      </x:c>
      <x:c r="L8" s="54" t="n">
        <x:v>1.3748917394646896</x:v>
      </x:c>
      <x:c r="M8" s="54" t="n">
        <x:v>-0.5437810439616442</x:v>
      </x:c>
      <x:c r="N8" s="54" t="n">
        <x:v>0.926153846153846</x:v>
      </x:c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70" t="n">
        <x:v>44682</x:v>
      </x:c>
      <x:c r="B9" s="70" t="n">
        <x:v>44713</x:v>
      </x:c>
      <x:c r="C9" s="54" t="n">
        <x:v>-4.8</x:v>
      </x:c>
      <x:c r="D9" s="54" t="n">
        <x:v>0.786492938103296</x:v>
      </x:c>
      <x:c r="E9" s="54" t="n">
        <x:f>C9-D9</x:f>
        <x:v>-5.586492938103296</x:v>
      </x:c>
      <x:c r="F9" s="54" t="n">
        <x:f>ABS(E9)</x:f>
        <x:v>5.586492938103296</x:v>
      </x:c>
      <x:c r="G9" s="71" t="n">
        <x:f>IF(SIGN(C9)=SIGN(D9),1,0)</x:f>
        <x:v>0</x:v>
      </x:c>
      <x:c r="H9" s="54" t="n">
        <x:v>1.2</x:v>
      </x:c>
      <x:c r="I9" s="54" t="n">
        <x:v>2.0972241159634546</x:v>
      </x:c>
      <x:c r="J9" s="54" t="n">
        <x:v>2.3037718842136865</x:v>
      </x:c>
      <x:c r="K9" s="54" t="n">
        <x:v>-0.18246224612835</x:v>
      </x:c>
      <x:c r="L9" s="54" t="n">
        <x:v>-0.2457553850574108</x:v>
      </x:c>
      <x:c r="M9" s="54" t="n">
        <x:v>0.6914341822266579</x:v>
      </x:c>
      <x:c r="N9" s="54" t="n">
        <x:v>0.535211267605634</x:v>
      </x:c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70" t="n">
        <x:v>44713</x:v>
      </x:c>
      <x:c r="B10" s="70" t="n">
        <x:v>44743</x:v>
      </x:c>
      <x:c r="C10" s="54" t="n">
        <x:v>8.7</x:v>
      </x:c>
      <x:c r="D10" s="54" t="n">
        <x:v>-2.704205899488065</x:v>
      </x:c>
      <x:c r="E10" s="54" t="n">
        <x:f>C10-D10</x:f>
        <x:v>11.404205899488064</x:v>
      </x:c>
      <x:c r="F10" s="54" t="n">
        <x:f>ABS(E10)</x:f>
        <x:v>11.404205899488064</x:v>
      </x:c>
      <x:c r="G10" s="71" t="n">
        <x:f>IF(SIGN(C10)=SIGN(D10),1,0)</x:f>
        <x:v>0</x:v>
      </x:c>
      <x:c r="H10" s="54" t="n">
        <x:v>0.65</x:v>
      </x:c>
      <x:c r="I10" s="54" t="n">
        <x:v>-26.32436952853185</x:v>
      </x:c>
      <x:c r="J10" s="54" t="n">
        <x:v>-7.566015256060784</x:v>
      </x:c>
      <x:c r="K10" s="54" t="n">
        <x:v>0.7111921604589723</x:v>
      </x:c>
      <x:c r="L10" s="54" t="n">
        <x:v>1.3568381576610071</x:v>
      </x:c>
      <x:c r="M10" s="54" t="n">
        <x:v>0.39840652607381344</x:v>
      </x:c>
      <x:c r="N10" s="54" t="n">
        <x:v>0.8303030303030303</x:v>
      </x:c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70" t="n">
        <x:v>44743</x:v>
      </x:c>
      <x:c r="B11" s="70" t="n">
        <x:v>44774</x:v>
      </x:c>
      <x:c r="C11" s="54" t="n">
        <x:v>3.5000000000000004</x:v>
      </x:c>
      <x:c r="D11" s="54" t="n">
        <x:v>0.6886033178113644</x:v>
      </x:c>
      <x:c r="E11" s="54" t="n">
        <x:f>C11-D11</x:f>
        <x:v>2.811396682188636</x:v>
      </x:c>
      <x:c r="F11" s="54" t="n">
        <x:f>ABS(E11)</x:f>
        <x:v>2.811396682188636</x:v>
      </x:c>
      <x:c r="G11" s="71" t="n">
        <x:f>IF(SIGN(C11)=SIGN(D11),1,0)</x:f>
        <x:v>1</x:v>
      </x:c>
      <x:c r="H11" s="54" t="n">
        <x:v>-0.1</x:v>
      </x:c>
      <x:c r="I11" s="54" t="n">
        <x:v>3.0364729580536785</x:v>
      </x:c>
      <x:c r="J11" s="54" t="n">
        <x:v>1.119794561346796</x:v>
      </x:c>
      <x:c r="K11" s="54" t="n">
        <x:v>-0.43933834092231716</x:v>
      </x:c>
      <x:c r="L11" s="54" t="n">
        <x:v>1.6186445299210226</x:v>
      </x:c>
      <x:c r="M11" s="54" t="n">
        <x:v>0.3802604041993618</x:v>
      </x:c>
      <x:c r="N11" s="54" t="n">
        <x:v>0.5376811594202897</x:v>
      </x:c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70" t="n">
        <x:v>44774</x:v>
      </x:c>
      <x:c r="B12" s="70" t="n">
        <x:v>44805</x:v>
      </x:c>
      <x:c r="C12" s="54" t="n">
        <x:v>-3.7000000000000006</x:v>
      </x:c>
      <x:c r="D12" s="54" t="n">
        <x:v>0.7708509630858966</x:v>
      </x:c>
      <x:c r="E12" s="54" t="n">
        <x:f>C12-D12</x:f>
        <x:v>-4.470850963085898</x:v>
      </x:c>
      <x:c r="F12" s="54" t="n">
        <x:f>ABS(E12)</x:f>
        <x:v>4.470850963085898</x:v>
      </x:c>
      <x:c r="G12" s="71" t="n">
        <x:f>IF(SIGN(C12)=SIGN(D12),1,0)</x:f>
        <x:v>0</x:v>
      </x:c>
      <x:c r="H12" s="54" t="n">
        <x:v>2.5</x:v>
      </x:c>
      <x:c r="I12" s="54" t="n">
        <x:v>-1.0765705004424433</x:v>
      </x:c>
      <x:c r="J12" s="54" t="n">
        <x:v>1.8752542772878265</x:v>
      </x:c>
      <x:c r="K12" s="54" t="n">
        <x:v>-0.1878405371414795</x:v>
      </x:c>
      <x:c r="L12" s="54" t="n">
        <x:v>0.8488722080795776</x:v>
      </x:c>
      <x:c r="M12" s="54" t="n">
        <x:v>0.6974715273827314</x:v>
      </x:c>
      <x:c r="N12" s="54" t="n">
        <x:v>0.25849056603773574</x:v>
      </x:c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70" t="n">
        <x:v>44805</x:v>
      </x:c>
      <x:c r="B13" s="70" t="n">
        <x:v>44835</x:v>
      </x:c>
      <x:c r="C13" s="54" t="n">
        <x:v>5.4</x:v>
      </x:c>
      <x:c r="D13" s="54" t="n">
        <x:v>1.0884855615657754</x:v>
      </x:c>
      <x:c r="E13" s="54" t="n">
        <x:f>C13-D13</x:f>
        <x:v>4.311514438434225</x:v>
      </x:c>
      <x:c r="F13" s="54" t="n">
        <x:f>ABS(E13)</x:f>
        <x:v>4.311514438434225</x:v>
      </x:c>
      <x:c r="G13" s="71" t="n">
        <x:f>IF(SIGN(C13)=SIGN(D13),1,0)</x:f>
        <x:v>1</x:v>
      </x:c>
      <x:c r="H13" s="54" t="n">
        <x:v>-1.35</x:v>
      </x:c>
      <x:c r="I13" s="54" t="n">
        <x:v>8.130698216439464</x:v>
      </x:c>
      <x:c r="J13" s="54" t="n">
        <x:v>2.717266835656782</x:v>
      </x:c>
      <x:c r="K13" s="54" t="n">
        <x:v>-0.8763918819703796</x:v>
      </x:c>
      <x:c r="L13" s="54" t="n">
        <x:v>1.5955393083588276</x:v>
      </x:c>
      <x:c r="M13" s="54" t="n">
        <x:v>0.7784216199070215</x:v>
      </x:c>
      <x:c r="N13" s="54" t="n">
        <x:v>0.02115384615384608</x:v>
      </x:c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70" t="n">
        <x:v>44835</x:v>
      </x:c>
      <x:c r="B14" s="70" t="n">
        <x:v>44866</x:v>
      </x:c>
      <x:c r="C14" s="54" t="n">
        <x:v>4.1</x:v>
      </x:c>
      <x:c r="D14" s="54" t="n">
        <x:v>0.9013997371126885</x:v>
      </x:c>
      <x:c r="E14" s="54" t="n">
        <x:f>C14-D14</x:f>
        <x:v>3.198600262887311</x:v>
      </x:c>
      <x:c r="F14" s="54" t="n">
        <x:f>ABS(E14)</x:f>
        <x:v>3.198600262887311</x:v>
      </x:c>
      <x:c r="G14" s="71" t="n">
        <x:f>IF(SIGN(C14)=SIGN(D14),1,0)</x:f>
        <x:v>1</x:v>
      </x:c>
      <x:c r="H14" s="54" t="n">
        <x:v>0.65</x:v>
      </x:c>
      <x:c r="I14" s="54" t="n">
        <x:v>-0.3279444570601326</x:v>
      </x:c>
      <x:c r="J14" s="54" t="n">
        <x:v>1.6301339096686704</x:v>
      </x:c>
      <x:c r="K14" s="54" t="n">
        <x:v>-0.7534781582516539</x:v>
      </x:c>
      <x:c r="L14" s="54" t="n">
        <x:v>3.113199089898865</x:v>
      </x:c>
      <x:c r="M14" s="54" t="n">
        <x:v>1.3993908651173115</x:v>
      </x:c>
      <x:c r="N14" s="54" t="n">
        <x:v>0.1933333333333333</x:v>
      </x:c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70" t="n">
        <x:v>44866</x:v>
      </x:c>
      <x:c r="B15" s="70" t="n">
        <x:v>44896</x:v>
      </x:c>
      <x:c r="C15" s="54" t="n">
        <x:v>-3.5000000000000004</x:v>
      </x:c>
      <x:c r="D15" s="54" t="n">
        <x:v>0.19697623879355963</x:v>
      </x:c>
      <x:c r="E15" s="54" t="n">
        <x:f>C15-D15</x:f>
        <x:v>-3.6969762387935603</x:v>
      </x:c>
      <x:c r="F15" s="54" t="n">
        <x:f>ABS(E15)</x:f>
        <x:v>3.6969762387935603</x:v>
      </x:c>
      <x:c r="G15" s="71" t="n">
        <x:f>IF(SIGN(C15)=SIGN(D15),1,0)</x:f>
        <x:v>0</x:v>
      </x:c>
      <x:c r="H15" s="54" t="n">
        <x:v>-0.2</x:v>
      </x:c>
      <x:c r="I15" s="54" t="n">
        <x:v>2.2306308291926804</x:v>
      </x:c>
      <x:c r="J15" s="54" t="n">
        <x:v>2.2544169608983653</x:v>
      </x:c>
      <x:c r="K15" s="54" t="n">
        <x:v>0.25591432415760573</x:v>
      </x:c>
      <x:c r="L15" s="54" t="n">
        <x:v>-2.1752220531657436</x:v>
      </x:c>
      <x:c r="M15" s="54" t="n">
        <x:v>0.12233619345352054</x:v>
      </x:c>
      <x:c r="N15" s="54" t="n">
        <x:v>0.14799999999999996</x:v>
      </x:c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70" t="n">
        <x:v>44896</x:v>
      </x:c>
      <x:c r="B16" s="70" t="n">
        <x:v>44927</x:v>
      </x:c>
      <x:c r="C16" s="54" t="n">
        <x:v>-2.5</x:v>
      </x:c>
      <x:c r="D16" s="54" t="n">
        <x:v>1.2145487669537813</x:v>
      </x:c>
      <x:c r="E16" s="54" t="n">
        <x:f>C16-D16</x:f>
        <x:v>-3.714548766953781</x:v>
      </x:c>
      <x:c r="F16" s="54" t="n">
        <x:f>ABS(E16)</x:f>
        <x:v>3.714548766953781</x:v>
      </x:c>
      <x:c r="G16" s="71" t="n">
        <x:f>IF(SIGN(C16)=SIGN(D16),1,0)</x:f>
        <x:v>0</x:v>
      </x:c>
      <x:c r="H16" s="54" t="n">
        <x:v>-1.7500000000000002</x:v>
      </x:c>
      <x:c r="I16" s="54" t="n">
        <x:v>-0.23220403740056658</x:v>
      </x:c>
      <x:c r="J16" s="54" t="n">
        <x:v>1.9374795229830815</x:v>
      </x:c>
      <x:c r="K16" s="54" t="n">
        <x:v>0.623301979316325</x:v>
      </x:c>
      <x:c r="L16" s="54" t="n">
        <x:v>4.1053622560205865</x:v>
      </x:c>
      <x:c r="M16" s="54" t="n">
        <x:v>2.2430794313549995</x:v>
      </x:c>
      <x:c r="N16" s="54" t="n">
        <x:v>0.6123287671232877</x:v>
      </x:c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70" t="n">
        <x:v>44927</x:v>
      </x:c>
      <x:c r="B17" s="70" t="n">
        <x:v>44958</x:v>
      </x:c>
      <x:c r="C17" s="54" t="n">
        <x:v>-2</x:v>
      </x:c>
      <x:c r="D17" s="54" t="n">
        <x:v>3.0227978571227174</x:v>
      </x:c>
      <x:c r="E17" s="54" t="n">
        <x:f>C17-D17</x:f>
        <x:v>-5.022797857122717</x:v>
      </x:c>
      <x:c r="F17" s="54" t="n">
        <x:f>ABS(E17)</x:f>
        <x:v>5.022797857122717</x:v>
      </x:c>
      <x:c r="G17" s="71" t="n">
        <x:f>IF(SIGN(C17)=SIGN(D17),1,0)</x:f>
        <x:v>0</x:v>
      </x:c>
      <x:c r="H17" s="54" t="n">
        <x:v>2.2</x:v>
      </x:c>
      <x:c r="I17" s="54" t="n">
        <x:v>8.887397980779896</x:v>
      </x:c>
      <x:c r="J17" s="54" t="n">
        <x:v>7.096970785330188</x:v>
      </x:c>
      <x:c r="K17" s="54" t="n">
        <x:v>1.1616843734827365</x:v>
      </x:c>
      <x:c r="L17" s="54" t="n">
        <x:v>0.9923872835114672</x:v>
      </x:c>
      <x:c r="M17" s="54" t="n">
        <x:v>3.1669288873672485</x:v>
      </x:c>
      <x:c r="N17" s="54" t="n">
        <x:v>0.6123287671232877</x:v>
      </x:c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70" t="n">
        <x:v>44958</x:v>
      </x:c>
      <x:c r="B18" s="70" t="n">
        <x:v>44986</x:v>
      </x:c>
      <x:c r="C18" s="54" t="n">
        <x:v>0.3</x:v>
      </x:c>
      <x:c r="D18" s="54" t="n">
        <x:v>1.9023130301406461</x:v>
      </x:c>
      <x:c r="E18" s="54" t="n">
        <x:f>C18-D18</x:f>
        <x:v>-1.602313030140646</x:v>
      </x:c>
      <x:c r="F18" s="54" t="n">
        <x:f>ABS(E18)</x:f>
        <x:v>1.602313030140646</x:v>
      </x:c>
      <x:c r="G18" s="71" t="n">
        <x:f>IF(SIGN(C18)=SIGN(D18),1,0)</x:f>
        <x:v>1</x:v>
      </x:c>
      <x:c r="H18" s="54" t="n">
        <x:v>0.6499999999999999</x:v>
      </x:c>
      <x:c r="I18" s="54" t="n">
        <x:v>4.98160056951802</x:v>
      </x:c>
      <x:c r="J18" s="54" t="n">
        <x:v>3.8030536309946426</x:v>
      </x:c>
      <x:c r="K18" s="54" t="n">
        <x:v>2.723662199412679</x:v>
      </x:c>
      <x:c r="L18" s="54" t="n">
        <x:v>1.5136165649932856</x:v>
      </x:c>
      <x:c r="M18" s="54" t="n">
        <x:v>0.6737126968801022</x:v>
      </x:c>
      <x:c r="N18" s="54" t="n">
        <x:v>0.5414285714285715</x:v>
      </x:c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70" t="n">
        <x:v>44986</x:v>
      </x:c>
      <x:c r="B19" s="70" t="n">
        <x:v>45017</x:v>
      </x:c>
      <x:c r="C19" s="54" t="n">
        <x:v>4.1</x:v>
      </x:c>
      <x:c r="D19" s="54" t="n">
        <x:v>0.5687794474246509</x:v>
      </x:c>
      <x:c r="E19" s="54" t="n">
        <x:f>C19-D19</x:f>
        <x:v>3.531220552575349</x:v>
      </x:c>
      <x:c r="F19" s="54" t="n">
        <x:f>ABS(E19)</x:f>
        <x:v>3.531220552575349</x:v>
      </x:c>
      <x:c r="G19" s="71" t="n">
        <x:f>IF(SIGN(C19)=SIGN(D19),1,0)</x:f>
        <x:v>1</x:v>
      </x:c>
      <x:c r="H19" s="54" t="n">
        <x:v>1.2</x:v>
      </x:c>
      <x:c r="I19" s="54" t="n">
        <x:v>1.890422479747593</x:v>
      </x:c>
      <x:c r="J19" s="54" t="n">
        <x:v>1.4766360199265205</x:v>
      </x:c>
      <x:c r="K19" s="54" t="n">
        <x:v>0.4301423304837418</x:v>
      </x:c>
      <x:c r="L19" s="54" t="n">
        <x:v>-0.587960088443883</x:v>
      </x:c>
      <x:c r="M19" s="54" t="n">
        <x:v>-0.11518930550664663</x:v>
      </x:c>
      <x:c r="N19" s="54" t="n">
        <x:v>0.4890410958904108</x:v>
      </x:c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70" t="n">
        <x:v>45017</x:v>
      </x:c>
      <x:c r="B20" s="70" t="n">
        <x:v>45047</x:v>
      </x:c>
      <x:c r="C20" s="54" t="n">
        <x:v>2.6</x:v>
      </x:c>
      <x:c r="D20" s="54" t="n">
        <x:v>1.9249504647765738</x:v>
      </x:c>
      <x:c r="E20" s="54" t="n">
        <x:f>C20-D20</x:f>
        <x:v>0.6750495352234263</x:v>
      </x:c>
      <x:c r="F20" s="54" t="n">
        <x:f>ABS(E20)</x:f>
        <x:v>0.6750495352234263</x:v>
      </x:c>
      <x:c r="G20" s="71" t="n">
        <x:f>IF(SIGN(C20)=SIGN(D20),1,0)</x:f>
        <x:v>1</x:v>
      </x:c>
      <x:c r="H20" s="54" t="n">
        <x:v>0.35000000000000003</x:v>
      </x:c>
      <x:c r="I20" s="54" t="n">
        <x:v>4.324958808281027</x:v>
      </x:c>
      <x:c r="J20" s="54" t="n">
        <x:v>5.388453290032544</x:v>
      </x:c>
      <x:c r="K20" s="54" t="n">
        <x:v>0.6464472018425585</x:v>
      </x:c>
      <x:c r="L20" s="54" t="n">
        <x:v>2.1177723218278746</x:v>
      </x:c>
      <x:c r="M20" s="54" t="n">
        <x:v>1.6358569264411926</x:v>
      </x:c>
      <x:c r="N20" s="54" t="n">
        <x:v>0.6154929577464787</x:v>
      </x:c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70" t="n">
        <x:v>45047</x:v>
      </x:c>
      <x:c r="B21" s="70" t="n">
        <x:v>45078</x:v>
      </x:c>
      <x:c r="C21" s="54" t="n">
        <x:v>3.5000000000000004</x:v>
      </x:c>
      <x:c r="D21" s="54" t="n">
        <x:v>1.6978596325198394</x:v>
      </x:c>
      <x:c r="E21" s="54" t="n">
        <x:f>C21-D21</x:f>
        <x:v>1.802140367480161</x:v>
      </x:c>
      <x:c r="F21" s="54" t="n">
        <x:f>ABS(E21)</x:f>
        <x:v>1.802140367480161</x:v>
      </x:c>
      <x:c r="G21" s="71" t="n">
        <x:f>IF(SIGN(C21)=SIGN(D21),1,0)</x:f>
        <x:v>1</x:v>
      </x:c>
      <x:c r="H21" s="54" t="n">
        <x:v>1.7000000000000002</x:v>
      </x:c>
      <x:c r="I21" s="54" t="n">
        <x:v>2.606271365652937</x:v>
      </x:c>
      <x:c r="J21" s="54" t="n">
        <x:v>3.0719001323464448</x:v>
      </x:c>
      <x:c r="K21" s="54" t="n">
        <x:v>0.8195548609461198</x:v>
      </x:c>
      <x:c r="L21" s="54" t="n">
        <x:v>2.2517213565423315</x:v>
      </x:c>
      <x:c r="M21" s="54" t="n">
        <x:v>1.3413704000413418</x:v>
      </x:c>
      <x:c r="N21" s="54" t="n">
        <x:v>0.7136986301369862</x:v>
      </x:c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70" t="n">
        <x:v>45078</x:v>
      </x:c>
      <x:c r="B22" s="70" t="n">
        <x:v>45108</x:v>
      </x:c>
      <x:c r="C22" s="54" t="n">
        <x:v>2.9</x:v>
      </x:c>
      <x:c r="D22" s="54" t="n">
        <x:v>-0.23772314780750262</x:v>
      </x:c>
      <x:c r="E22" s="54" t="n">
        <x:f>C22-D22</x:f>
        <x:v>3.1377231478075025</x:v>
      </x:c>
      <x:c r="F22" s="54" t="n">
        <x:f>ABS(E22)</x:f>
        <x:v>3.1377231478075025</x:v>
      </x:c>
      <x:c r="G22" s="71" t="n">
        <x:f>IF(SIGN(C22)=SIGN(D22),1,0)</x:f>
        <x:v>0</x:v>
      </x:c>
      <x:c r="H22" s="54" t="n">
        <x:v>1.15</x:v>
      </x:c>
      <x:c r="I22" s="54" t="n">
        <x:v>-4.362941634046144</x:v>
      </x:c>
      <x:c r="J22" s="54" t="n">
        <x:v>-1.5735856392112293</x:v>
      </x:c>
      <x:c r="K22" s="54" t="n">
        <x:v>0.5564420752352792</x:v>
      </x:c>
      <x:c r="L22" s="54" t="n">
        <x:v>0.19271088622496904</x:v>
      </x:c>
      <x:c r="M22" s="54" t="n">
        <x:v>-0.13624071143567562</x:v>
      </x:c>
      <x:c r="N22" s="54" t="n">
        <x:v>0.7611111111111112</x:v>
      </x:c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70" t="n">
        <x:v>45108</x:v>
      </x:c>
      <x:c r="B23" s="70" t="n">
        <x:v>45139</x:v>
      </x:c>
      <x:c r="C23" s="54" t="n">
        <x:v>-2.5</x:v>
      </x:c>
      <x:c r="D23" s="54" t="n">
        <x:v>0.15787928325831443</x:v>
      </x:c>
      <x:c r="E23" s="54" t="n">
        <x:f>C23-D23</x:f>
        <x:v>-2.6578792832583145</x:v>
      </x:c>
      <x:c r="F23" s="54" t="n">
        <x:f>ABS(E23)</x:f>
        <x:v>2.6578792832583145</x:v>
      </x:c>
      <x:c r="G23" s="71" t="n">
        <x:f>IF(SIGN(C23)=SIGN(D23),1,0)</x:f>
        <x:v>0</x:v>
      </x:c>
      <x:c r="H23" s="54" t="n">
        <x:v>-0.7000000000000001</x:v>
      </x:c>
      <x:c r="I23" s="54" t="n">
        <x:v>-2.5353777923039376</x:v>
      </x:c>
      <x:c r="J23" s="54" t="n">
        <x:v>0.0036042963648277512</x:v>
      </x:c>
      <x:c r="K23" s="54" t="n">
        <x:v>0.651566169330657</x:v>
      </x:c>
      <x:c r="L23" s="54" t="n">
        <x:v>0.3713822015006147</x:v>
      </x:c>
      <x:c r="M23" s="54" t="n">
        <x:v>-0.03369583282619715</x:v>
      </x:c>
      <x:c r="N23" s="54" t="n">
        <x:v>2.2761904761904765</x:v>
      </x:c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70" t="n">
        <x:v>45139</x:v>
      </x:c>
      <x:c r="B24" s="70" t="n">
        <x:v>45170</x:v>
      </x:c>
      <x:c r="C24" s="54" t="n">
        <x:v>2</x:v>
      </x:c>
      <x:c r="D24" s="54" t="n">
        <x:v>1.0751676698407227</x:v>
      </x:c>
      <x:c r="E24" s="54" t="n">
        <x:f>C24-D24</x:f>
        <x:v>0.9248323301592773</x:v>
      </x:c>
      <x:c r="F24" s="54" t="n">
        <x:f>ABS(E24)</x:f>
        <x:v>0.9248323301592773</x:v>
      </x:c>
      <x:c r="G24" s="71" t="n">
        <x:f>IF(SIGN(C24)=SIGN(D24),1,0)</x:f>
        <x:v>1</x:v>
      </x:c>
      <x:c r="H24" s="54" t="n">
        <x:v>3.5000000000000004</x:v>
      </x:c>
      <x:c r="I24" s="54" t="n">
        <x:v>-0.6947760787402196</x:v>
      </x:c>
      <x:c r="J24" s="54" t="n">
        <x:v>1.4270710696092173</x:v>
      </x:c>
      <x:c r="K24" s="54" t="n">
        <x:v>0.9427612469541121</x:v>
      </x:c>
      <x:c r="L24" s="54" t="n">
        <x:v>-0.6512802812042925</x:v>
      </x:c>
      <x:c r="M24" s="54" t="n">
        <x:v>0.26619869749993086</x:v>
      </x:c>
      <x:c r="N24" s="54" t="n">
        <x:v>2.2761904761904765</x:v>
      </x:c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70" t="n">
        <x:v>45170</x:v>
      </x:c>
      <x:c r="B25" s="70" t="n">
        <x:v>45200</x:v>
      </x:c>
      <x:c r="C25" s="54" t="n">
        <x:v>-2.8</x:v>
      </x:c>
      <x:c r="D25" s="54" t="n">
        <x:v>-0.5734636944777829</x:v>
      </x:c>
      <x:c r="E25" s="54" t="n">
        <x:f>C25-D25</x:f>
        <x:v>-2.2265363055222167</x:v>
      </x:c>
      <x:c r="F25" s="54" t="n">
        <x:f>ABS(E25)</x:f>
        <x:v>2.2265363055222167</x:v>
      </x:c>
      <x:c r="G25" s="71" t="n">
        <x:f>IF(SIGN(C25)=SIGN(D25),1,0)</x:f>
        <x:v>1</x:v>
      </x:c>
      <x:c r="H25" s="54" t="n">
        <x:v>0.19999999999999993</x:v>
      </x:c>
      <x:c r="I25" s="54" t="n">
        <x:v>-2.8949001564656194</x:v>
      </x:c>
      <x:c r="J25" s="54" t="n">
        <x:v>-1.0787190524446937</x:v>
      </x:c>
      <x:c r="K25" s="54" t="n">
        <x:v>0.11686890045371631</x:v>
      </x:c>
      <x:c r="L25" s="54" t="n">
        <x:v>-2.6585069180246115</x:v>
      </x:c>
      <x:c r="M25" s="54" t="n">
        <x:v>-1.3523715548217297</x:v>
      </x:c>
      <x:c r="N25" s="54" t="n">
        <x:v>2.8000000000000003</x:v>
      </x:c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70" t="n">
        <x:v>45200</x:v>
      </x:c>
      <x:c r="B26" s="70" t="n">
        <x:v>45231</x:v>
      </x:c>
      <x:c r="C26" s="54" t="n">
        <x:v>5.5</x:v>
      </x:c>
      <x:c r="D26" s="54" t="n">
        <x:v>-0.20111091461821562</x:v>
      </x:c>
      <x:c r="E26" s="54" t="n">
        <x:f>C26-D26</x:f>
        <x:v>5.701110914618216</x:v>
      </x:c>
      <x:c r="F26" s="54" t="n">
        <x:f>ABS(E26)</x:f>
        <x:v>5.701110914618216</x:v>
      </x:c>
      <x:c r="G26" s="71" t="n">
        <x:f>IF(SIGN(C26)=SIGN(D26),1,0)</x:f>
        <x:v>0</x:v>
      </x:c>
      <x:c r="H26" s="54" t="n">
        <x:v>0.25</x:v>
      </x:c>
      <x:c r="I26" s="54" t="n">
        <x:v>1.574320776893769</x:v>
      </x:c>
      <x:c r="J26" s="54" t="n">
        <x:v>-0.38684147589461426</x:v>
      </x:c>
      <x:c r="K26" s="54" t="n">
        <x:v>-0.1666636170591023</x:v>
      </x:c>
      <x:c r="L26" s="54" t="n">
        <x:v>-1.5189553642078724</x:v>
      </x:c>
      <x:c r="M26" s="54" t="n">
        <x:v>-1.2877567671239376</x:v>
      </x:c>
      <x:c r="N26" s="54" t="n">
        <x:v>0.8267605633802815</x:v>
      </x:c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70" t="n">
        <x:v>45231</x:v>
      </x:c>
      <x:c r="B27" s="70" t="n">
        <x:v>45261</x:v>
      </x:c>
      <x:c r="C27" s="54" t="n">
        <x:v>7.9</x:v>
      </x:c>
      <x:c r="D27" s="54" t="n">
        <x:v>0.8695588810998287</x:v>
      </x:c>
      <x:c r="E27" s="54" t="n">
        <x:f>C27-D27</x:f>
        <x:v>7.030441118900171</x:v>
      </x:c>
      <x:c r="F27" s="54" t="n">
        <x:f>ABS(E27)</x:f>
        <x:v>7.030441118900171</x:v>
      </x:c>
      <x:c r="G27" s="71" t="n">
        <x:f>IF(SIGN(C27)=SIGN(D27),1,0)</x:f>
        <x:v>1</x:v>
      </x:c>
      <x:c r="H27" s="54" t="n">
        <x:v>-0.2</x:v>
      </x:c>
      <x:c r="I27" s="54" t="n">
        <x:v>0.41650145583908593</x:v>
      </x:c>
      <x:c r="J27" s="54" t="n">
        <x:v>0.5586064707412537</x:v>
      </x:c>
      <x:c r="K27" s="54" t="n">
        <x:v>0.7974976835289381</x:v>
      </x:c>
      <x:c r="L27" s="54" t="n">
        <x:v>1.6311076103531694</x:v>
      </x:c>
      <x:c r="M27" s="54" t="n">
        <x:v>1.3562780804932117</x:v>
      </x:c>
      <x:c r="N27" s="54" t="n">
        <x:v>1.2571428571428571</x:v>
      </x:c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70" t="n">
        <x:v>45261</x:v>
      </x:c>
      <x:c r="B28" s="70" t="n">
        <x:v>45292</x:v>
      </x:c>
      <x:c r="C28" s="54" t="n">
        <x:v>0</x:v>
      </x:c>
      <x:c r="D28" s="54" t="n">
        <x:v>0.9423169750884551</x:v>
      </x:c>
      <x:c r="E28" s="54" t="n">
        <x:f>C28-D28</x:f>
        <x:v>-0.9423169750884551</x:v>
      </x:c>
      <x:c r="F28" s="54" t="n">
        <x:f>ABS(E28)</x:f>
        <x:v>0.9423169750884551</x:v>
      </x:c>
      <x:c r="G28" s="71" t="n">
        <x:f>IF(SIGN(C28)=SIGN(D28),1,0)</x:f>
        <x:v>0</x:v>
      </x:c>
      <x:c r="H28" s="54" t="n">
        <x:v>-1.2</x:v>
      </x:c>
      <x:c r="I28" s="54" t="n">
        <x:v>0.6282059393484472</x:v>
      </x:c>
      <x:c r="J28" s="54" t="n">
        <x:v>0.25225690238935855</x:v>
      </x:c>
      <x:c r="K28" s="54" t="n">
        <x:v>1.1784472385287414</x:v>
      </x:c>
      <x:c r="L28" s="54" t="n">
        <x:v>1.0994314096352802</x:v>
      </x:c>
      <x:c r="M28" s="54" t="n">
        <x:v>1.1582042090594769</x:v>
      </x:c>
      <x:c r="N28" s="54" t="n">
        <x:v>3.2764705882352945</x:v>
      </x:c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70" t="n">
        <x:v>45292</x:v>
      </x:c>
      <x:c r="B29" s="70" t="n">
        <x:v>45323</x:v>
      </x:c>
      <x:c r="C29" s="54" t="n">
        <x:v>1.2</x:v>
      </x:c>
      <x:c r="D29" s="54" t="n">
        <x:v>1.4305315365515516</x:v>
      </x:c>
      <x:c r="E29" s="54" t="n">
        <x:f>C29-D29</x:f>
        <x:v>-0.23053153655155167</x:v>
      </x:c>
      <x:c r="F29" s="54" t="n">
        <x:f>ABS(E29)</x:f>
        <x:v>0.23053153655155167</x:v>
      </x:c>
      <x:c r="G29" s="71" t="n">
        <x:f>IF(SIGN(C29)=SIGN(D29),1,0)</x:f>
        <x:v>1</x:v>
      </x:c>
      <x:c r="H29" s="54" t="n">
        <x:v>0.7000000000000001</x:v>
      </x:c>
      <x:c r="I29" s="54" t="n">
        <x:v>1.8501300798332243</x:v>
      </x:c>
      <x:c r="J29" s="54" t="n">
        <x:v>1.8568704312542463</x:v>
      </x:c>
      <x:c r="K29" s="54" t="n">
        <x:v>1.1572546980624212</x:v>
      </x:c>
      <x:c r="L29" s="54" t="n">
        <x:v>1.723090251331341</x:v>
      </x:c>
      <x:c r="M29" s="54" t="n">
        <x:v>1.6155323013663292</x:v>
      </x:c>
      <x:c r="N29" s="54" t="n">
        <x:v>1.2571428571428571</x:v>
      </x:c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70" t="n">
        <x:v>45323</x:v>
      </x:c>
      <x:c r="B30" s="70" t="n">
        <x:v>45352</x:v>
      </x:c>
      <x:c r="C30" s="54" t="n">
        <x:v>1.6</x:v>
      </x:c>
      <x:c r="D30" s="54" t="n">
        <x:v>0.0771144919071575</x:v>
      </x:c>
      <x:c r="E30" s="54" t="n">
        <x:f>C30-D30</x:f>
        <x:v>1.5228855080928425</x:v>
      </x:c>
      <x:c r="F30" s="54" t="n">
        <x:f>ABS(E30)</x:f>
        <x:v>1.5228855080928425</x:v>
      </x:c>
      <x:c r="G30" s="71" t="n">
        <x:f>IF(SIGN(C30)=SIGN(D30),1,0)</x:f>
        <x:v>1</x:v>
      </x:c>
      <x:c r="H30" s="54" t="n">
        <x:v>1.4</x:v>
      </x:c>
      <x:c r="I30" s="54" t="n">
        <x:v>-2.6719715765957734</x:v>
      </x:c>
      <x:c r="J30" s="54" t="n">
        <x:v>-0.674597310925481</x:v>
      </x:c>
      <x:c r="K30" s="54" t="n">
        <x:v>0.6242381623503251</x:v>
      </x:c>
      <x:c r="L30" s="54" t="n">
        <x:v>-0.5513183569812926</x:v>
      </x:c>
      <x:c r="M30" s="54" t="n">
        <x:v>-0.053004903020337224</x:v>
      </x:c>
      <x:c r="N30" s="54" t="n">
        <x:v>1.654166666666667</x:v>
      </x:c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70" t="n">
        <x:v>45352</x:v>
      </x:c>
      <x:c r="B31" s="70" t="n">
        <x:v>45383</x:v>
      </x:c>
      <x:c r="C31" s="54" t="n">
        <x:v>1.2</x:v>
      </x:c>
      <x:c r="D31" s="54" t="n">
        <x:v>0.08468896357471883</x:v>
      </x:c>
      <x:c r="E31" s="54" t="n">
        <x:f>C31-D31</x:f>
        <x:v>1.1153110364252812</x:v>
      </x:c>
      <x:c r="F31" s="54" t="n">
        <x:f>ABS(E31)</x:f>
        <x:v>1.1153110364252812</x:v>
      </x:c>
      <x:c r="G31" s="71" t="n">
        <x:f>IF(SIGN(C31)=SIGN(D31),1,0)</x:f>
        <x:v>1</x:v>
      </x:c>
      <x:c r="H31" s="54" t="n">
        <x:v>2.0500000000000003</x:v>
      </x:c>
      <x:c r="I31" s="54" t="n">
        <x:v>-1.1775127003032595</x:v>
      </x:c>
      <x:c r="J31" s="54" t="n">
        <x:v>-0.15285401502956372</x:v>
      </x:c>
      <x:c r="K31" s="54" t="n">
        <x:v>0.43498657264177726</x:v>
      </x:c>
      <x:c r="L31" s="54" t="n">
        <x:v>-1.2194226260151646</x:v>
      </x:c>
      <x:c r="M31" s="54" t="n">
        <x:v>-0.9969541803002357</x:v>
      </x:c>
      <x:c r="N31" s="54" t="n">
        <x:v>1.3536585365853657</x:v>
      </x:c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70" t="n">
        <x:v>45383</x:v>
      </x:c>
      <x:c r="B32" s="70" t="n">
        <x:v>45413</x:v>
      </x:c>
      <x:c r="C32" s="54" t="n">
        <x:v>-0.3</x:v>
      </x:c>
      <x:c r="D32" s="54" t="n">
        <x:v>-0.1647662909532742</x:v>
      </x:c>
      <x:c r="E32" s="54" t="n">
        <x:f>C32-D32</x:f>
        <x:v>-0.1352337090467258</x:v>
      </x:c>
      <x:c r="F32" s="54" t="n">
        <x:f>ABS(E32)</x:f>
        <x:v>0.1352337090467258</x:v>
      </x:c>
      <x:c r="G32" s="71" t="n">
        <x:f>IF(SIGN(C32)=SIGN(D32),1,0)</x:f>
        <x:v>1</x:v>
      </x:c>
      <x:c r="H32" s="54" t="n">
        <x:v>0.35000000000000003</x:v>
      </x:c>
      <x:c r="I32" s="54" t="n">
        <x:v>-3.0299698389454193</x:v>
      </x:c>
      <x:c r="J32" s="54" t="n">
        <x:v>-0.30616327702184876</x:v>
      </x:c>
      <x:c r="K32" s="54" t="n">
        <x:v>0.10691968147920534</x:v>
      </x:c>
      <x:c r="L32" s="54" t="n">
        <x:v>-0.27585192746537784</x:v>
      </x:c>
      <x:c r="M32" s="54" t="n">
        <x:v>0.13034413568675518</x:v>
      </x:c>
      <x:c r="N32" s="54" t="n">
        <x:v>1.072857142857143</x:v>
      </x:c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70" t="n">
        <x:v>45413</x:v>
      </x:c>
      <x:c r="B33" s="70" t="n">
        <x:v>45444</x:v>
      </x:c>
      <x:c r="C33" s="54" t="n">
        <x:v>6.6000000000000005</x:v>
      </x:c>
      <x:c r="D33" s="54" t="n">
        <x:v>0.6370089635368932</x:v>
      </x:c>
      <x:c r="E33" s="54" t="n">
        <x:f>C33-D33</x:f>
        <x:v>5.962991036463107</x:v>
      </x:c>
      <x:c r="F33" s="54" t="n">
        <x:f>ABS(E33)</x:f>
        <x:v>5.962991036463107</x:v>
      </x:c>
      <x:c r="G33" s="71" t="n">
        <x:f>IF(SIGN(C33)=SIGN(D33),1,0)</x:f>
        <x:v>1</x:v>
      </x:c>
      <x:c r="H33" s="54" t="n">
        <x:v>2.45</x:v>
      </x:c>
      <x:c r="I33" s="54" t="n">
        <x:v>1.9109092363906863</x:v>
      </x:c>
      <x:c r="J33" s="54" t="n">
        <x:v>0.2771798971382619</x:v>
      </x:c>
      <x:c r="K33" s="54" t="n">
        <x:v>0.5216159026258836</x:v>
      </x:c>
      <x:c r="L33" s="54" t="n">
        <x:v>-1.2454850842538057</x:v>
      </x:c>
      <x:c r="M33" s="54" t="n">
        <x:v>-0.2771297935396433</x:v>
      </x:c>
      <x:c r="N33" s="54" t="n">
        <x:v>1.1782608695652177</x:v>
      </x:c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70" t="n">
        <x:v>45444</x:v>
      </x:c>
      <x:c r="B34" s="70" t="n">
        <x:v>45474</x:v>
      </x:c>
      <x:c r="C34" s="54" t="n">
        <x:v>3.9</x:v>
      </x:c>
      <x:c r="D34" s="54" t="n">
        <x:v>1.0349588610266576</x:v>
      </x:c>
      <x:c r="E34" s="54" t="n">
        <x:f>C34-D34</x:f>
        <x:v>2.8650411389733423</x:v>
      </x:c>
      <x:c r="F34" s="54" t="n">
        <x:f>ABS(E34)</x:f>
        <x:v>2.8650411389733423</x:v>
      </x:c>
      <x:c r="G34" s="71" t="n">
        <x:f>IF(SIGN(C34)=SIGN(D34),1,0)</x:f>
        <x:v>1</x:v>
      </x:c>
      <x:c r="H34" s="54" t="n">
        <x:v>1.15</x:v>
      </x:c>
      <x:c r="I34" s="54" t="n">
        <x:v>1.9909504671645977</x:v>
      </x:c>
      <x:c r="J34" s="54" t="n">
        <x:v>2.090113512259802</x:v>
      </x:c>
      <x:c r="K34" s="54" t="n">
        <x:v>0.7586491645724128</x:v>
      </x:c>
      <x:c r="L34" s="54" t="n">
        <x:v>-0.12783917444718262</x:v>
      </x:c>
      <x:c r="M34" s="54" t="n">
        <x:v>0.31935253646224737</x:v>
      </x:c>
      <x:c r="N34" s="54" t="n">
        <x:v>1.4333333333333333</x:v>
      </x:c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70" t="n">
        <x:v>45474</x:v>
      </x:c>
      <x:c r="B35" s="70" t="n">
        <x:v>45505</x:v>
      </x:c>
      <x:c r="C35" s="54" t="n">
        <x:v>1.1</x:v>
      </x:c>
      <x:c r="D35" s="54" t="n">
        <x:v>0.5565572284514756</x:v>
      </x:c>
      <x:c r="E35" s="54" t="n">
        <x:f>C35-D35</x:f>
        <x:v>0.5434427715485245</x:v>
      </x:c>
      <x:c r="F35" s="54" t="n">
        <x:f>ABS(E35)</x:f>
        <x:v>0.5434427715485245</x:v>
      </x:c>
      <x:c r="G35" s="71" t="n">
        <x:f>IF(SIGN(C35)=SIGN(D35),1,0)</x:f>
        <x:v>1</x:v>
      </x:c>
      <x:c r="H35" s="54" t="n">
        <x:v>-0.1</x:v>
      </x:c>
      <x:c r="I35" s="54" t="n">
        <x:v>0.007361869274881069</x:v>
      </x:c>
      <x:c r="J35" s="54" t="n">
        <x:v>0.29303129907933423</x:v>
      </x:c>
      <x:c r="K35" s="54" t="n">
        <x:v>1.1969888125259238</x:v>
      </x:c>
      <x:c r="L35" s="54" t="n">
        <x:v>0.38100620323799533</x:v>
      </x:c>
      <x:c r="M35" s="54" t="n">
        <x:v>1.0393987409770489</x:v>
      </x:c>
      <x:c r="N35" s="54" t="n">
        <x:v>1.0970588235294119</x:v>
      </x:c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70" t="n">
        <x:v>45505</x:v>
      </x:c>
      <x:c r="B36" s="70" t="n">
        <x:v>45536</x:v>
      </x:c>
      <x:c r="C36" s="54" t="n">
        <x:v>2.3</x:v>
      </x:c>
      <x:c r="D36" s="54" t="n">
        <x:v>1.8301878154600104</x:v>
      </x:c>
      <x:c r="E36" s="54" t="n">
        <x:f>C36-D36</x:f>
        <x:v>0.4698121845399894</x:v>
      </x:c>
      <x:c r="F36" s="54" t="n">
        <x:f>ABS(E36)</x:f>
        <x:v>0.4698121845399894</x:v>
      </x:c>
      <x:c r="G36" s="71" t="n">
        <x:f>IF(SIGN(C36)=SIGN(D36),1,0)</x:f>
        <x:v>1</x:v>
      </x:c>
      <x:c r="H36" s="54" t="n">
        <x:v>2.5</x:v>
      </x:c>
      <x:c r="I36" s="54" t="n">
        <x:v>3.386557490030643</x:v>
      </x:c>
      <x:c r="J36" s="54" t="n">
        <x:v>2.419194445817637</x:v>
      </x:c>
      <x:c r="K36" s="54" t="n">
        <x:v>0.8881294033465761</x:v>
      </x:c>
      <x:c r="L36" s="54" t="n">
        <x:v>1.581816724591226</x:v>
      </x:c>
      <x:c r="M36" s="54" t="n">
        <x:v>0.6200863048434258</x:v>
      </x:c>
      <x:c r="N36" s="54" t="n">
        <x:v>1.5174999999999998</x:v>
      </x:c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70" t="n">
        <x:v>45536</x:v>
      </x:c>
      <x:c r="B37" s="70" t="n">
        <x:v>45566</x:v>
      </x:c>
      <x:c r="C37" s="54" t="n">
        <x:v>-6.2</x:v>
      </x:c>
      <x:c r="D37" s="54" t="n">
        <x:v>1.1831282233783222</x:v>
      </x:c>
      <x:c r="E37" s="54" t="n">
        <x:f>C37-D37</x:f>
        <x:v>-7.383128223378322</x:v>
      </x:c>
      <x:c r="F37" s="54" t="n">
        <x:f>ABS(E37)</x:f>
        <x:v>7.383128223378322</x:v>
      </x:c>
      <x:c r="G37" s="71" t="n">
        <x:f>IF(SIGN(C37)=SIGN(D37),1,0)</x:f>
        <x:v>0</x:v>
      </x:c>
      <x:c r="H37" s="54" t="n">
        <x:v>2.35</x:v>
      </x:c>
      <x:c r="I37" s="54" t="n">
        <x:v>1.869387264757194</x:v>
      </x:c>
      <x:c r="J37" s="54" t="n">
        <x:v>0.3358204193157709</x:v>
      </x:c>
      <x:c r="K37" s="54" t="n">
        <x:v>1.1601436720382745</x:v>
      </x:c>
      <x:c r="L37" s="54" t="n">
        <x:v>0.8269693960215851</x:v>
      </x:c>
      <x:c r="M37" s="54" t="n">
        <x:v>0.9314004331827164</x:v>
      </x:c>
      <x:c r="N37" s="54" t="n">
        <x:v>0.7403225806451613</x:v>
      </x:c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70" t="n">
        <x:v>45566</x:v>
      </x:c>
      <x:c r="B38" s="70" t="n">
        <x:v>45597</x:v>
      </x:c>
      <x:c r="C38" s="54" t="n">
        <x:v>-0.3</x:v>
      </x:c>
      <x:c r="D38" s="54" t="n">
        <x:v>-0.19177291617740488</x:v>
      </x:c>
      <x:c r="E38" s="54" t="n">
        <x:f>C38-D38</x:f>
        <x:v>-0.1082270838225951</x:v>
      </x:c>
      <x:c r="F38" s="54" t="n">
        <x:f>ABS(E38)</x:f>
        <x:v>0.1082270838225951</x:v>
      </x:c>
      <x:c r="G38" s="71" t="n">
        <x:f>IF(SIGN(C38)=SIGN(D38),1,0)</x:f>
        <x:v>1</x:v>
      </x:c>
      <x:c r="H38" s="54" t="n">
        <x:v>0.65</x:v>
      </x:c>
      <x:c r="I38" s="54" t="n">
        <x:v>0.3279247108018425</x:v>
      </x:c>
      <x:c r="J38" s="54" t="n">
        <x:v>0.38776790622035706</x:v>
      </x:c>
      <x:c r="K38" s="54" t="n">
        <x:v>-0.39844125982682005</x:v>
      </x:c>
      <x:c r="L38" s="54" t="n">
        <x:v>-2.447232470141448</x:v>
      </x:c>
      <x:c r="M38" s="54" t="n">
        <x:v>-0.9375846944749355</x:v>
      </x:c>
      <x:c r="N38" s="54" t="n">
        <x:v>1.0560975609756098</x:v>
      </x:c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70" t="n">
        <x:v>45597</x:v>
      </x:c>
      <x:c r="B39" s="70" t="n">
        <x:v>45627</x:v>
      </x:c>
      <x:c r="C39" s="54" t="n">
        <x:v>-2</x:v>
      </x:c>
      <x:c r="D39" s="54" t="n">
        <x:v>0.34103000104035736</x:v>
      </x:c>
      <x:c r="E39" s="54" t="n">
        <x:f>C39-D39</x:f>
        <x:v>-2.3410300010403575</x:v>
      </x:c>
      <x:c r="F39" s="54" t="n">
        <x:f>ABS(E39)</x:f>
        <x:v>2.3410300010403575</x:v>
      </x:c>
      <x:c r="G39" s="71" t="n">
        <x:f>IF(SIGN(C39)=SIGN(D39),1,0)</x:f>
        <x:v>0</x:v>
      </x:c>
      <x:c r="H39" s="54" t="n">
        <x:v>-0.2</x:v>
      </x:c>
      <x:c r="I39" s="54" t="n">
        <x:v>0.5794195390202678</x:v>
      </x:c>
      <x:c r="J39" s="54" t="n">
        <x:v>-0.3954111367461606</x:v>
      </x:c>
      <x:c r="K39" s="54" t="n">
        <x:v>0.8442311659381659</x:v>
      </x:c>
      <x:c r="L39" s="54" t="n">
        <x:v>0.5415968144900206</x:v>
      </x:c>
      <x:c r="M39" s="54" t="n">
        <x:v>0.45559629797935486</x:v>
      </x:c>
      <x:c r="N39" s="54" t="n">
        <x:v>0.5943661971830987</x:v>
      </x:c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70" t="n">
        <x:v>45627</x:v>
      </x:c>
      <x:c r="B40" s="70" t="n">
        <x:v>45658</x:v>
      </x:c>
      <x:c r="C40" s="54" t="n">
        <x:v>-0.6</x:v>
      </x:c>
      <x:c r="D40" s="54" t="n">
        <x:v>0.7261594764818883</x:v>
      </x:c>
      <x:c r="E40" s="54" t="n">
        <x:f>C40-D40</x:f>
        <x:v>-1.3261594764818883</x:v>
      </x:c>
      <x:c r="F40" s="54" t="n">
        <x:f>ABS(E40)</x:f>
        <x:v>1.3261594764818883</x:v>
      </x:c>
      <x:c r="G40" s="71" t="n">
        <x:f>IF(SIGN(C40)=SIGN(D40),1,0)</x:f>
        <x:v>0</x:v>
      </x:c>
      <x:c r="H40" s="54" t="n">
        <x:v>-1.2</x:v>
      </x:c>
      <x:c r="I40" s="54" t="n">
        <x:v>1.0774967818293089</x:v>
      </x:c>
      <x:c r="J40" s="54" t="n">
        <x:v>1.7291110760775104</x:v>
      </x:c>
      <x:c r="K40" s="54" t="n">
        <x:v>2.4570696454208196</x:v>
      </x:c>
      <x:c r="L40" s="54" t="n">
        <x:v>0.19224764916556514</x:v>
      </x:c>
      <x:c r="M40" s="54" t="n">
        <x:v>0.4469228908419609</x:v>
      </x:c>
      <x:c r="N40" s="54" t="n">
        <x:v>0.5971428571428571</x:v>
      </x:c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70" t="n">
        <x:v>45658</x:v>
      </x:c>
      <x:c r="B41" s="70" t="n">
        <x:v>45689</x:v>
      </x:c>
      <x:c r="C41" s="54" t="n">
        <x:v>-5.9</x:v>
      </x:c>
      <x:c r="D41" s="54" t="n">
        <x:v>0.6480258485920964</x:v>
      </x:c>
      <x:c r="E41" s="54" t="n">
        <x:f>C41-D41</x:f>
        <x:v>-6.548025848592097</x:v>
      </x:c>
      <x:c r="F41" s="54" t="n">
        <x:f>ABS(E41)</x:f>
        <x:v>6.548025848592097</x:v>
      </x:c>
      <x:c r="G41" s="71" t="n">
        <x:f>IF(SIGN(C41)=SIGN(D41),1,0)</x:f>
        <x:v>0</x:v>
      </x:c>
      <x:c r="H41" s="54" t="n">
        <x:v>1.35</x:v>
      </x:c>
      <x:c r="I41" s="54" t="n">
        <x:v>1.0350358060612475</x:v>
      </x:c>
      <x:c r="J41" s="54" t="n">
        <x:v>1.9569010999045546</x:v>
      </x:c>
      <x:c r="K41" s="54" t="n">
        <x:v>1.312478972762649</x:v>
      </x:c>
      <x:c r="L41" s="54" t="n">
        <x:v>-1.9533873301862767</x:v>
      </x:c>
      <x:c r="M41" s="54" t="n">
        <x:v>0.25319394189864397</x:v>
      </x:c>
      <x:c r="N41" s="54" t="n">
        <x:v>0.5666666666666667</x:v>
      </x:c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70" t="n">
        <x:v>45689</x:v>
      </x:c>
      <x:c r="B42" s="70" t="n">
        <x:v>45717</x:v>
      </x:c>
      <x:c r="C42" s="54" t="n">
        <x:v>6.3</x:v>
      </x:c>
      <x:c r="D42" s="54" t="n">
        <x:v>1.002742009449146</x:v>
      </x:c>
      <x:c r="E42" s="54" t="n">
        <x:f>C42-D42</x:f>
        <x:v>5.297257990550854</x:v>
      </x:c>
      <x:c r="F42" s="54" t="n">
        <x:f>ABS(E42)</x:f>
        <x:v>5.297257990550854</x:v>
      </x:c>
      <x:c r="G42" s="71" t="n">
        <x:f>IF(SIGN(C42)=SIGN(D42),1,0)</x:f>
        <x:v>1</x:v>
      </x:c>
      <x:c r="H42" s="54" t="n">
        <x:v>1.4</x:v>
      </x:c>
      <x:c r="I42" s="54" t="n">
        <x:v>3.4068475667849047</x:v>
      </x:c>
      <x:c r="J42" s="54" t="n">
        <x:v>2.016107796381148</x:v>
      </x:c>
      <x:c r="K42" s="54" t="n">
        <x:v>0.6781765444388587</x:v>
      </x:c>
      <x:c r="L42" s="54" t="n">
        <x:v>-1.192947089494938</x:v>
      </x:c>
      <x:c r="M42" s="54" t="n">
        <x:v>-0.06770403124392033</x:v>
      </x:c>
      <x:c r="N42" s="54" t="n">
        <x:v>0.8630952380952381</x:v>
      </x:c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70" t="n">
        <x:v>45717</x:v>
      </x:c>
      <x:c r="B43" s="70" t="n">
        <x:v>45748</x:v>
      </x:c>
      <x:c r="C43" s="54" t="n">
        <x:v>3.5000000000000004</x:v>
      </x:c>
      <x:c r="D43" s="54" t="n">
        <x:v>3.4380875052420516</x:v>
      </x:c>
      <x:c r="E43" s="54" t="n">
        <x:f>C43-D43</x:f>
        <x:v>0.0619124947579488</x:v>
      </x:c>
      <x:c r="F43" s="54" t="n">
        <x:f>ABS(E43)</x:f>
        <x:v>0.0619124947579488</x:v>
      </x:c>
      <x:c r="G43" s="71" t="n">
        <x:f>IF(SIGN(C43)=SIGN(D43),1,0)</x:f>
        <x:v>1</x:v>
      </x:c>
      <x:c r="H43" s="54" t="n">
        <x:v>2.0500000000000003</x:v>
      </x:c>
      <x:c r="I43" s="54" t="n">
        <x:v>8.099200065092441</x:v>
      </x:c>
      <x:c r="J43" s="54" t="n">
        <x:v>6.4139458550596755</x:v>
      </x:c>
      <x:c r="K43" s="54" t="n">
        <x:v>1.6686191277665925</x:v>
      </x:c>
      <x:c r="L43" s="54" t="n">
        <x:v>2.6089889900209076</x:v>
      </x:c>
      <x:c r="M43" s="54" t="n">
        <x:v>2.0910225808620453</x:v>
      </x:c>
      <x:c r="N43" s="54" t="n">
        <x:v>0.9464285714285716</x:v>
      </x:c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70" t="n">
        <x:v>45748</x:v>
      </x:c>
      <x:c r="B44" s="70" t="n">
        <x:v>45778</x:v>
      </x:c>
      <x:c r="C44" s="54" t="n">
        <x:v>1.7000000000000002</x:v>
      </x:c>
      <x:c r="D44" s="54" t="n">
        <x:v>2.0768509603191596</x:v>
      </x:c>
      <x:c r="E44" s="54" t="n">
        <x:f>C44-D44</x:f>
        <x:v>-0.37685096031915943</x:v>
      </x:c>
      <x:c r="F44" s="54" t="n">
        <x:f>ABS(E44)</x:f>
        <x:v>0.37685096031915943</x:v>
      </x:c>
      <x:c r="G44" s="71" t="n">
        <x:f>IF(SIGN(C44)=SIGN(D44),1,0)</x:f>
        <x:v>1</x:v>
      </x:c>
      <x:c r="H44" s="54" t="n">
        <x:v>0.35000000000000003</x:v>
      </x:c>
      <x:c r="I44" s="54" t="n">
        <x:v>6.759297231706185</x:v>
      </x:c>
      <x:c r="J44" s="54" t="n">
        <x:v>4.92689244621713</x:v>
      </x:c>
      <x:c r="K44" s="54" t="n">
        <x:v>-0.2569041086498397</x:v>
      </x:c>
      <x:c r="L44" s="54" t="n">
        <x:v>1.5573337627320176</x:v>
      </x:c>
      <x:c r="M44" s="54" t="n">
        <x:v>0.39698611944913864</x:v>
      </x:c>
      <x:c r="N44" s="54" t="n">
        <x:v>0.9357142857142859</x:v>
      </x:c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70" t="n">
        <x:v>45778</x:v>
      </x:c>
      <x:c r="B45" s="70" t="n">
        <x:v>45809</x:v>
      </x:c>
      <x:c r="C45" s="54" t="n">
        <x:v>3.1</x:v>
      </x:c>
      <x:c r="D45" s="54" t="n">
        <x:v>1.4870522868804534</x:v>
      </x:c>
      <x:c r="E45" s="54" t="n">
        <x:f>C45-D45</x:f>
        <x:v>1.6129477131195467</x:v>
      </x:c>
      <x:c r="F45" s="54" t="n">
        <x:f>ABS(E45)</x:f>
        <x:v>1.6129477131195467</x:v>
      </x:c>
      <x:c r="G45" s="71" t="n">
        <x:f>IF(SIGN(C45)=SIGN(D45),1,0)</x:f>
        <x:v>1</x:v>
      </x:c>
      <x:c r="H45" s="54" t="n">
        <x:v>3.4000000000000004</x:v>
      </x:c>
      <x:c r="I45" s="54" t="n">
        <x:v>3.5298750823057023</x:v>
      </x:c>
      <x:c r="J45" s="54" t="n">
        <x:v>1.1846821243407417</x:v>
      </x:c>
      <x:c r="K45" s="54" t="n">
        <x:v>0.9675161979222672</x:v>
      </x:c>
      <x:c r="L45" s="54" t="n">
        <x:v>-0.1421408731712645</x:v>
      </x:c>
      <x:c r="M45" s="54" t="n">
        <x:v>0.826922245323658</x:v>
      </x:c>
      <x:c r="N45" s="54" t="n">
        <x:v>0.6352112676056338</x:v>
      </x:c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70" t="n">
        <x:v>45809</x:v>
      </x:c>
      <x:c r="B46" s="70" t="n">
        <x:v>45839</x:v>
      </x:c>
      <x:c r="C46" s="54" t="n">
        <x:v>-2.9</x:v>
      </x:c>
      <x:c r="D46" s="54" t="n">
        <x:v>0.5368057927482792</x:v>
      </x:c>
      <x:c r="E46" s="54" t="n">
        <x:f>C46-D46</x:f>
        <x:v>-3.436805792748279</x:v>
      </x:c>
      <x:c r="F46" s="54" t="n">
        <x:f>ABS(E46)</x:f>
        <x:v>3.436805792748279</x:v>
      </x:c>
      <x:c r="G46" s="71" t="n">
        <x:f>IF(SIGN(C46)=SIGN(D46),1,0)</x:f>
        <x:v>0</x:v>
      </x:c>
      <x:c r="H46" s="54" t="n">
        <x:v>1.4000000000000001</x:v>
      </x:c>
      <x:c r="I46" s="54" t="n">
        <x:v>-2.1479157388990506</x:v>
      </x:c>
      <x:c r="J46" s="54" t="n">
        <x:v>-0.5609033218408052</x:v>
      </x:c>
      <x:c r="K46" s="54" t="n">
        <x:v>0.9050984360392863</x:v>
      </x:c>
      <x:c r="L46" s="54" t="n">
        <x:v>1.8081915341296697</x:v>
      </x:c>
      <x:c r="M46" s="54" t="n">
        <x:v>1.109034288674593</x:v>
      </x:c>
      <x:c r="N46" s="54" t="n">
        <x:v>1.0329268292682927</x:v>
      </x:c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70" t="n">
        <x:v>45839</x:v>
      </x:c>
      <x:c r="B47" s="70" t="n">
        <x:v>45870</x:v>
      </x:c>
      <x:c r="C47" s="54" t="n">
        <x:v>-1.4</x:v>
      </x:c>
      <x:c r="D47" s="54" t="n">
        <x:v>-0.4182616419220078</x:v>
      </x:c>
      <x:c r="E47" s="54" t="n">
        <x:f>C47-D47</x:f>
        <x:v>-0.9817383580779921</x:v>
      </x:c>
      <x:c r="F47" s="54" t="n">
        <x:f>ABS(E47)</x:f>
        <x:v>0.9817383580779921</x:v>
      </x:c>
      <x:c r="G47" s="71" t="n">
        <x:f>IF(SIGN(C47)=SIGN(D47),1,0)</x:f>
        <x:v>1</x:v>
      </x:c>
      <x:c r="H47" s="54" t="n">
        <x:v>-0.1</x:v>
      </x:c>
      <x:c r="I47" s="54" t="n">
        <x:v>-4.391665708500833</x:v>
      </x:c>
      <x:c r="J47" s="54" t="n">
        <x:v>-1.8857736344052405</x:v>
      </x:c>
      <x:c r="K47" s="54" t="n">
        <x:v>0.9216448163747134</x:v>
      </x:c>
      <x:c r="L47" s="54" t="n">
        <x:v>0.8479558216725733</x:v>
      </x:c>
      <x:c r="M47" s="54" t="n">
        <x:v>0.7866756059229374</x:v>
      </x:c>
      <x:c r="N47" s="54" t="n">
        <x:v>1.0666666666666664</x:v>
      </x:c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70" t="n">
        <x:v>45870</x:v>
      </x:c>
      <x:c r="B48" s="70" t="n">
        <x:v>45901</x:v>
      </x:c>
      <x:c r="C48" s="54" t="n">
        <x:v>0.8</x:v>
      </x:c>
      <x:c r="D48" s="54" t="n">
        <x:v>1.016431232342415</x:v>
      </x:c>
      <x:c r="E48" s="54" t="n">
        <x:f>C48-D48</x:f>
        <x:v>-0.2164312323424149</x:v>
      </x:c>
      <x:c r="F48" s="54" t="n">
        <x:f>ABS(E48)</x:f>
        <x:v>0.2164312323424149</x:v>
      </x:c>
      <x:c r="G48" s="71" t="n">
        <x:f>IF(SIGN(C48)=SIGN(D48),1,0)</x:f>
        <x:v>1</x:v>
      </x:c>
      <x:c r="H48" s="54" t="n">
        <x:v>2.5</x:v>
      </x:c>
      <x:c r="I48" s="54" t="n">
        <x:v>-1.0246915866033905</x:v>
      </x:c>
      <x:c r="J48" s="54" t="n">
        <x:v>-0.4573311862017072</x:v>
      </x:c>
      <x:c r="K48" s="54" t="n">
        <x:v>0.6608694933106174</x:v>
      </x:c>
      <x:c r="L48" s="54" t="n">
        <x:v>2.7391226100032715</x:v>
      </x:c>
      <x:c r="M48" s="54" t="n">
        <x:v>2.0145827904343605</x:v>
      </x:c>
      <x:c r="N48" s="54" t="n">
        <x:v>0.6808823529411764</x:v>
      </x:c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70" t="n">
        <x:v>45901</x:v>
      </x:c>
      <x:c r="B49" s="70" t="n">
        <x:v>45931</x:v>
      </x:c>
      <x:c r="C49" s="54" t="n">
        <x:v>4.5</x:v>
      </x:c>
      <x:c r="D49" s="54" t="n">
        <x:v>0.8823452258799014</x:v>
      </x:c>
      <x:c r="E49" s="54" t="n">
        <x:f>C49-D49</x:f>
        <x:v>3.6176547741200986</x:v>
      </x:c>
      <x:c r="F49" s="54" t="n">
        <x:f>ABS(E49)</x:f>
        <x:v>3.6176547741200986</x:v>
      </x:c>
      <x:c r="G49" s="71" t="n">
        <x:f>IF(SIGN(C49)=SIGN(D49),1,0)</x:f>
        <x:v>1</x:v>
      </x:c>
      <x:c r="H49" s="54" t="n">
        <x:v>0.6</x:v>
      </x:c>
      <x:c r="I49" s="54" t="n">
        <x:v>1.0354197447950857</x:v>
      </x:c>
      <x:c r="J49" s="54" t="n">
        <x:v>1.4060146607932007</x:v>
      </x:c>
      <x:c r="K49" s="54" t="n">
        <x:v>0.6655318581978457</x:v>
      </x:c>
      <x:c r="L49" s="54" t="n">
        <x:v>0.42101065724118425</x:v>
      </x:c>
      <x:c r="M49" s="54" t="n">
        <x:v>1.376320980489254</x:v>
      </x:c>
      <x:c r="N49" s="54" t="n">
        <x:v>0.6661764705882353</x:v>
      </x:c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70" t="n">
        <x:v>45931</x:v>
      </x:c>
      <x:c r="B50" s="70" t="n">
        <x:v>45962</x:v>
      </x:c>
      <x:c r="C50" s="54" t="n">
        <x:v>1.9</x:v>
      </x:c>
      <x:c r="D50" s="54" t="n">
        <x:v>1.337826414982884</x:v>
      </x:c>
      <x:c r="E50" s="54" t="n">
        <x:f>C50-D50</x:f>
        <x:v>0.5621735850171159</x:v>
      </x:c>
      <x:c r="F50" s="54" t="n">
        <x:f>ABS(E50)</x:f>
        <x:v>0.5621735850171159</x:v>
      </x:c>
      <x:c r="G50" s="71" t="n">
        <x:f>IF(SIGN(C50)=SIGN(D50),1,0)</x:f>
        <x:v>1</x:v>
      </x:c>
      <x:c r="H50" s="54" t="n">
        <x:v>0.5000000000000001</x:v>
      </x:c>
      <x:c r="I50" s="54" t="n">
        <x:v>1.0760418963113547</x:v>
      </x:c>
      <x:c r="J50" s="54" t="n">
        <x:v>1.2983837512346135</x:v>
      </x:c>
      <x:c r="K50" s="54" t="n">
        <x:v>1.1469621917762483</x:v>
      </x:c>
      <x:c r="L50" s="54" t="n">
        <x:v>3.6838217913034113</x:v>
      </x:c>
      <x:c r="M50" s="54" t="n">
        <x:v>0.8987929672002792</x:v>
      </x:c>
      <x:c r="N50" s="54" t="n">
        <x:v>0.936904761904762</x:v>
      </x:c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70" t="n">
        <x:v>45962</x:v>
      </x:c>
      <x:c r="B51" s="70" t="n">
        <x:v>45992</x:v>
      </x:c>
      <x:c r="C51" s="54" t="n">
        <x:v>-0.3</x:v>
      </x:c>
      <x:c r="D51" s="54" t="n">
        <x:v>0.42059288067274453</x:v>
      </x:c>
      <x:c r="E51" s="54" t="n">
        <x:f>C51-D51</x:f>
        <x:v>-0.7205928806727445</x:v>
      </x:c>
      <x:c r="F51" s="54" t="n">
        <x:f>ABS(E51)</x:f>
        <x:v>0.7205928806727445</x:v>
      </x:c>
      <x:c r="G51" s="71" t="n">
        <x:f>IF(SIGN(C51)=SIGN(D51),1,0)</x:f>
        <x:v>0</x:v>
      </x:c>
      <x:c r="H51" s="54" t="n">
        <x:v>-0.45000000000000007</x:v>
      </x:c>
      <x:c r="I51" s="54" t="n">
        <x:v>-0.3595274537615028</x:v>
      </x:c>
      <x:c r="J51" s="54" t="n">
        <x:v>0.24020309713395013</x:v>
      </x:c>
      <x:c r="K51" s="54" t="n">
        <x:v>1.1799971083334742</x:v>
      </x:c>
      <x:c r="L51" s="54" t="n">
        <x:v>0.5686072477991401</x:v>
      </x:c>
      <x:c r="M51" s="54" t="n">
        <x:v>0.8106905035674572</x:v>
      </x:c>
      <x:c r="N51" s="54" t="n">
        <x:v>0.9600000000000003</x:v>
      </x:c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70" t="n">
        <x:v>45992</x:v>
      </x:c>
      <x:c r="B52" s="70" t="n">
        <x:v>46023</x:v>
      </x:c>
      <x:c r="C52" s="54" t="n">
        <x:v>-3.1</x:v>
      </x:c>
      <x:c r="D52" s="54" t="n">
        <x:v>-0.12372810493609596</x:v>
      </x:c>
      <x:c r="E52" s="54" t="n">
        <x:f>C52-D52</x:f>
        <x:v>-2.976271895063904</x:v>
      </x:c>
      <x:c r="F52" s="54" t="n">
        <x:f>ABS(E52)</x:f>
        <x:v>2.976271895063904</x:v>
      </x:c>
      <x:c r="G52" s="71" t="n">
        <x:f>IF(SIGN(C52)=SIGN(D52),1,0)</x:f>
        <x:v>1</x:v>
      </x:c>
      <x:c r="H52" s="54" t="n">
        <x:v>-1.2</x:v>
      </x:c>
      <x:c r="I52" s="54" t="n">
        <x:v>-2.6174608118307305</x:v>
      </x:c>
      <x:c r="J52" s="54" t="n">
        <x:v>-0.02083594191708525</x:v>
      </x:c>
      <x:c r="K52" s="54" t="n">
        <x:v>0.8669934696083088</x:v>
      </x:c>
      <x:c r="L52" s="54" t="n">
        <x:v>0.3321050010455391</x:v>
      </x:c>
      <x:c r="M52" s="54" t="n">
        <x:v>0.8293667808175087</x:v>
      </x:c>
      <x:c r="N52" s="54" t="n">
        <x:v>0.9345238095238098</x:v>
      </x:c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70" t="n">
        <x:v>46023</x:v>
      </x:c>
      <x:c r="B53" s="70" t="n">
        <x:v>46054</x:v>
      </x:c>
      <x:c r="C53" s="54" t="n">
        <x:v>-0.6</x:v>
      </x:c>
      <x:c r="D53" s="54" t="n">
        <x:v>-0.2815102637133189</x:v>
      </x:c>
      <x:c r="E53" s="54" t="n">
        <x:f>C53-D53</x:f>
        <x:v>-0.3184897362866811</x:v>
      </x:c>
      <x:c r="F53" s="54" t="n">
        <x:f>ABS(E53)</x:f>
        <x:v>0.3184897362866811</x:v>
      </x:c>
      <x:c r="G53" s="71" t="n">
        <x:f>IF(SIGN(C53)=SIGN(D53),1,0)</x:f>
        <x:v>1</x:v>
      </x:c>
      <x:c r="H53" s="54" t="n">
        <x:v>2.45</x:v>
      </x:c>
      <x:c r="I53" s="54" t="n">
        <x:v>-3.601004473784654</x:v>
      </x:c>
      <x:c r="J53" s="54" t="n">
        <x:v>-0.6917358699559867</x:v>
      </x:c>
      <x:c r="K53" s="54" t="n">
        <x:v>0.9038892790323728</x:v>
      </x:c>
      <x:c r="L53" s="54" t="n">
        <x:v>-2.041636443779531</x:v>
      </x:c>
      <x:c r="M53" s="54" t="n">
        <x:v>-0.442980183288455</x:v>
      </x:c>
      <x:c r="N53" s="54" t="n">
        <x:v>0.9380952380952382</x:v>
      </x:c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70" t="n">
        <x:v>46054</x:v>
      </x:c>
      <x:c r="B54" s="70" t="n">
        <x:v>46082</x:v>
      </x:c>
      <x:c r="C54" s="54" t="n">
        <x:v>-11.3</x:v>
      </x:c>
      <x:c r="D54" s="54" t="n">
        <x:v>-0.3051052688747673</x:v>
      </x:c>
      <x:c r="E54" s="54" t="n">
        <x:f>C54-D54</x:f>
        <x:v>-10.994894731125234</x:v>
      </x:c>
      <x:c r="F54" s="54" t="n">
        <x:f>ABS(E54)</x:f>
        <x:v>10.994894731125234</x:v>
      </x:c>
      <x:c r="G54" s="71" t="n">
        <x:f>IF(SIGN(C54)=SIGN(D54),1,0)</x:f>
        <x:v>1</x:v>
      </x:c>
      <x:c r="H54" s="54" t="n">
        <x:v>1.4</x:v>
      </x:c>
      <x:c r="I54" s="54" t="n">
        <x:v>-1.5381030597896723</x:v>
      </x:c>
      <x:c r="J54" s="54" t="n">
        <x:v>-0.637961379754189</x:v>
      </x:c>
      <x:c r="K54" s="54" t="n">
        <x:v>0.5503652260959389</x:v>
      </x:c>
      <x:c r="L54" s="54" t="n">
        <x:v>-1.9040100943996532</x:v>
      </x:c>
      <x:c r="M54" s="54" t="n">
        <x:v>-0.9826029650866985</x:v>
      </x:c>
      <x:c r="N54" s="54" t="n">
        <x:v>0.6823529411764706</x:v>
      </x:c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70" t="n">
        <x:v>46082</x:v>
      </x:c>
      <x:c r="B55" s="70" t="n">
        <x:v>46113</x:v>
      </x:c>
      <x:c r="C55" s="54" t="n">
        <x:v>7.5</x:v>
      </x:c>
      <x:c r="D55" s="54" t="n">
        <x:v>2.710241874876853</x:v>
      </x:c>
      <x:c r="E55" s="54" t="n">
        <x:f>C55-D55</x:f>
        <x:v>4.7897581251231465</x:v>
      </x:c>
      <x:c r="F55" s="54" t="n">
        <x:f>ABS(E55)</x:f>
        <x:v>4.7897581251231465</x:v>
      </x:c>
      <x:c r="G55" s="71" t="n">
        <x:f>IF(SIGN(C55)=SIGN(D55),1,0)</x:f>
        <x:v>1</x:v>
      </x:c>
      <x:c r="H55" s="54" t="n">
        <x:v>2.1500000000000004</x:v>
      </x:c>
      <x:c r="I55" s="54" t="n">
        <x:v>2.882681737187764</x:v>
      </x:c>
      <x:c r="J55" s="54" t="n">
        <x:v>2.7058751739167883</x:v>
      </x:c>
      <x:c r="K55" s="54" t="n">
        <x:v>2.527252573944594</x:v>
      </x:c>
      <x:c r="L55" s="54" t="n">
        <x:v>5.316457059137382</x:v>
      </x:c>
      <x:c r="M55" s="54" t="n">
        <x:v>2.825201116502285</x:v>
      </x:c>
      <x:c r="N55" s="54" t="n">
        <x:v>0.6749999999999999</x:v>
      </x:c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70" t="n">
        <x:v>46113</x:v>
      </x:c>
      <x:c r="B56" s="70" t="n">
        <x:v>46143</x:v>
      </x:c>
      <x:c r="C56" s="54" t="n">
        <x:v>-1.9</x:v>
      </x:c>
      <x:c r="D56" s="54" t="n">
        <x:v>1.7736621230863434</x:v>
      </x:c>
      <x:c r="E56" s="54" t="n">
        <x:f>C56-D56</x:f>
        <x:v>-3.673662123086343</x:v>
      </x:c>
      <x:c r="F56" s="54" t="n">
        <x:f>ABS(E56)</x:f>
        <x:v>3.673662123086343</x:v>
      </x:c>
      <x:c r="G56" s="71" t="n">
        <x:f>IF(SIGN(C56)=SIGN(D56),1,0)</x:f>
        <x:v>0</x:v>
      </x:c>
      <x:c r="H56" s="54" t="n">
        <x:v>1.25</x:v>
      </x:c>
      <x:c r="I56" s="54" t="n">
        <x:v>0.08081297538959728</x:v>
      </x:c>
      <x:c r="J56" s="54" t="n">
        <x:v>1.649799345524949</x:v>
      </x:c>
      <x:c r="K56" s="54" t="n">
        <x:v>2.2136085646933985</x:v>
      </x:c>
      <x:c r="L56" s="54" t="n">
        <x:v>3.6416518241203693</x:v>
      </x:c>
      <x:c r="M56" s="54" t="n">
        <x:v>2.8523102402687073</x:v>
      </x:c>
      <x:c r="N56" s="54" t="n">
        <x:v>0.7529411764705883</x:v>
      </x:c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70" t="n">
        <x:v>46143</x:v>
      </x:c>
      <x:c r="B57" s="70" t="n">
        <x:v>46174</x:v>
      </x:c>
      <x:c r="C57" s="54" t="n">
        <x:v>1.4</x:v>
      </x:c>
      <x:c r="D57" s="54" t="n">
        <x:v>2.5717923356134156</x:v>
      </x:c>
      <x:c r="E57" s="54" t="n">
        <x:f>C57-D57</x:f>
        <x:v>-1.1717923356134157</x:v>
      </x:c>
      <x:c r="F57" s="54" t="n">
        <x:f>ABS(E57)</x:f>
        <x:v>1.1717923356134157</x:v>
      </x:c>
      <x:c r="G57" s="71" t="n">
        <x:f>IF(SIGN(C57)=SIGN(D57),1,0)</x:f>
        <x:v>1</x:v>
      </x:c>
      <x:c r="H57" s="54" t="n">
        <x:v>3.4000000000000004</x:v>
      </x:c>
      <x:c r="I57" s="54" t="n">
        <x:v>3.9878201229455215</x:v>
      </x:c>
      <x:c r="J57" s="54" t="n">
        <x:v>2.5073761028709263</x:v>
      </x:c>
      <x:c r="K57" s="54" t="n">
        <x:v>1.4443089061303915</x:v>
      </x:c>
      <x:c r="L57" s="54" t="n">
        <x:v>3.144251559151031</x:v>
      </x:c>
      <x:c r="M57" s="54" t="n">
        <x:v>2.6771044358611107</x:v>
      </x:c>
      <x:c r="N57" s="54" t="n">
        <x:v>0.6865671641791045</x:v>
      </x:c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70" t="n">
        <x:v>46174</x:v>
      </x:c>
      <x:c r="B58" s="70" t="n">
        <x:v>46204</x:v>
      </x:c>
      <x:c r="C58" s="54" t="n">
        <x:v>2.2</x:v>
      </x:c>
      <x:c r="D58" s="54" t="n">
        <x:v>1.2126369595019413</x:v>
      </x:c>
      <x:c r="E58" s="54" t="n">
        <x:f>C58-D58</x:f>
        <x:v>0.9873630404980589</x:v>
      </x:c>
      <x:c r="F58" s="54" t="n">
        <x:f>ABS(E58)</x:f>
        <x:v>0.9873630404980589</x:v>
      </x:c>
      <x:c r="G58" s="71" t="n">
        <x:f>IF(SIGN(C58)=SIGN(D58),1,0)</x:f>
        <x:v>1</x:v>
      </x:c>
      <x:c r="H58" s="54" t="n">
        <x:v>1.4000000000000001</x:v>
      </x:c>
      <x:c r="I58" s="54" t="n">
        <x:v>-0.027986053592543234</x:v>
      </x:c>
      <x:c r="J58" s="54" t="n">
        <x:v>0.9969273146109091</x:v>
      </x:c>
      <x:c r="K58" s="54" t="n">
        <x:v>0.6502681155369391</x:v>
      </x:c>
      <x:c r="L58" s="54" t="n">
        <x:v>2.9323749441752485</x:v>
      </x:c>
      <x:c r="M58" s="54" t="n">
        <x:v>2.0880991593003273</x:v>
      </x:c>
      <x:c r="N58" s="54" t="n">
        <x:v>0.48823529411764705</x:v>
      </x:c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70" t="n">
        <x:v>46204</x:v>
      </x:c>
      <x:c r="B59" s="70" t="n">
        <x:v>46235</x:v>
      </x:c>
      <x:c r="C59" s="54" t="n">
        <x:v>-1.2</x:v>
      </x:c>
      <x:c r="D59" s="54" t="n">
        <x:v>1.4247598204870502</x:v>
      </x:c>
      <x:c r="E59" s="54" t="n">
        <x:f>C59-D59</x:f>
        <x:v>-2.62475982048705</x:v>
      </x:c>
      <x:c r="F59" s="54" t="n">
        <x:f>ABS(E59)</x:f>
        <x:v>2.62475982048705</x:v>
      </x:c>
      <x:c r="G59" s="71" t="n">
        <x:f>IF(SIGN(C59)=SIGN(D59),1,0)</x:f>
        <x:v>0</x:v>
      </x:c>
      <x:c r="H59" s="54" t="n">
        <x:v>-0.1</x:v>
      </x:c>
      <x:c r="I59" s="54" t="n">
        <x:v>3.4800851933356656</x:v>
      </x:c>
      <x:c r="J59" s="54" t="n">
        <x:v>2.689458821224417</x:v>
      </x:c>
      <x:c r="K59" s="54" t="n">
        <x:v>0.9619893024867376</x:v>
      </x:c>
      <x:c r="L59" s="54" t="n">
        <x:v>1.0558826846621905</x:v>
      </x:c>
      <x:c r="M59" s="54" t="n">
        <x:v>1.2867402285337448</x:v>
      </x:c>
      <x:c r="N59" s="54" t="n">
        <x:v>0.47462686567164186</x:v>
      </x:c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70" t="n">
        <x:v>46235</x:v>
      </x:c>
      <x:c r="B60" s="70" t="n">
        <x:v>46266</x:v>
      </x:c>
      <x:c r="C60" s="54" t="n">
        <x:v>-3.9</x:v>
      </x:c>
      <x:c r="D60" s="54" t="n">
        <x:v>0.6466337617006357</x:v>
      </x:c>
      <x:c r="E60" s="54" t="n">
        <x:f>C60-D60</x:f>
        <x:v>-4.546633761700636</x:v>
      </x:c>
      <x:c r="F60" s="54" t="n">
        <x:f>ABS(E60)</x:f>
        <x:v>4.546633761700636</x:v>
      </x:c>
      <x:c r="G60" s="71" t="n">
        <x:f>IF(SIGN(C60)=SIGN(D60),1,0)</x:f>
        <x:v>0</x:v>
      </x:c>
      <x:c r="H60" s="54" t="n">
        <x:v>2.5</x:v>
      </x:c>
      <x:c r="I60" s="54" t="n">
        <x:v>-0.6986639708983888</x:v>
      </x:c>
      <x:c r="J60" s="54" t="n">
        <x:v>-0.4572312419861221</x:v>
      </x:c>
      <x:c r="K60" s="54" t="n">
        <x:v>0.4979202414490901</x:v>
      </x:c>
      <x:c r="L60" s="54" t="n">
        <x:v>1.3386269647891262</x:v>
      </x:c>
      <x:c r="M60" s="54" t="n">
        <x:v>0.8983790874481201</x:v>
      </x:c>
      <x:c r="N60" s="54" t="n">
        <x:v>0.4212121212121212</x:v>
      </x:c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conditionalFormatting sqref="F2:F6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G2:G60">
    <x:cfRule type="cellIs" dxfId="0" priority="2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21" hidden="0" customWidth="1"/>
    <x:col min="5" max="5" width="15" hidden="0" customWidth="1"/>
    <x:col min="6" max="6" width="12" hidden="0" customWidth="1"/>
  </x:cols>
  <x:sheetData>
    <x:row r="1">
      <x:c r="A1" s="32" t="str">
        <x:v>Model</x:v>
      </x:c>
      <x:c r="B1" s="32" t="str">
        <x:v>MAE (pp)</x:v>
      </x:c>
      <x:c r="C1" s="32" t="str">
        <x:v>RMSE (pp)</x:v>
      </x:c>
      <x:c r="D1" s="32" t="str">
        <x:v>Direction accuracy (%)</x:v>
      </x:c>
      <x:c r="E1" s="32" t="str">
        <x:v>Mean bias (pp)</x:v>
      </x:c>
      <x:c r="F1" s="32" t="str">
        <x:v>Correlation</x:v>
      </x:c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1" t="str">
        <x:v>blend</x:v>
      </x:c>
      <x:c r="B2" s="74" t="n">
        <x:v>3.0367322815551963</x:v>
      </x:c>
      <x:c r="C2" s="74" t="n">
        <x:v>3.9218355957794153</x:v>
      </x:c>
      <x:c r="D2" s="74" t="n">
        <x:v>61.016949152542374</x:v>
      </x:c>
      <x:c r="E2" s="74" t="n">
        <x:v>-0.2740110248767991</x:v>
      </x:c>
      <x:c r="F2" s="74" t="n">
        <x:v>0.04648202207813702</x:v>
      </x:c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1" t="str">
        <x:v>seasonal</x:v>
      </x:c>
      <x:c r="B3" s="74" t="n">
        <x:v>3.0974576271186436</x:v>
      </x:c>
      <x:c r="C3" s="74" t="n">
        <x:v>4.0136789413289895</x:v>
      </x:c>
      <x:c r="D3" s="74" t="n">
        <x:v>59.32203389830508</x:v>
      </x:c>
      <x:c r="E3" s="74" t="n">
        <x:v>-0.385593220338983</x:v>
      </x:c>
      <x:c r="F3" s="74" t="n">
        <x:v>0.015067524728215709</x:v>
      </x:c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51" t="str">
        <x:v>xgb</x:v>
      </x:c>
      <x:c r="B4" s="74" t="n">
        <x:v>3.1098905300997766</x:v>
      </x:c>
      <x:c r="C4" s="74" t="n">
        <x:v>3.8453633497684936</x:v>
      </x:c>
      <x:c r="D4" s="74" t="n">
        <x:v>54.23728813559322</x:v>
      </x:c>
      <x:c r="E4" s="74" t="n">
        <x:v>-0.15503480206243697</x:v>
      </x:c>
      <x:c r="F4" s="74" t="n">
        <x:v>0.1070294817680573</x:v>
      </x:c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51" t="str">
        <x:v>histgb</x:v>
      </x:c>
      <x:c r="B5" s="74" t="n">
        <x:v>3.116352106399998</x:v>
      </x:c>
      <x:c r="C5" s="74" t="n">
        <x:v>3.854357631099512</x:v>
      </x:c>
      <x:c r="D5" s="74" t="n">
        <x:v>49.152542372881356</x:v>
      </x:c>
      <x:c r="E5" s="74" t="n">
        <x:v>-0.16231238844284782</x:v>
      </x:c>
      <x:c r="F5" s="74" t="n">
        <x:v>0.2083510532554751</x:v>
      </x:c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1" t="str">
        <x:v>regime</x:v>
      </x:c>
      <x:c r="B6" s="74" t="n">
        <x:v>3.148833430161119</x:v>
      </x:c>
      <x:c r="C6" s="74" t="n">
        <x:v>3.9134502486008165</x:v>
      </x:c>
      <x:c r="D6" s="74" t="n">
        <x:v>52.54237288135594</x:v>
      </x:c>
      <x:c r="E6" s="74" t="n">
        <x:v>-0.46660391524963923</x:v>
      </x:c>
      <x:c r="F6" s="74" t="n">
        <x:v>-0.03491412917152755</x:v>
      </x:c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1" t="str">
        <x:v>extra</x:v>
      </x:c>
      <x:c r="B7" s="74" t="n">
        <x:v>3.183827563073743</x:v>
      </x:c>
      <x:c r="C7" s="74" t="n">
        <x:v>3.910782811474247</x:v>
      </x:c>
      <x:c r="D7" s="74" t="n">
        <x:v>49.152542372881356</x:v>
      </x:c>
      <x:c r="E7" s="74" t="n">
        <x:v>-0.17465556980639282</x:v>
      </x:c>
      <x:c r="F7" s="74" t="n">
        <x:v>-0.03623436271189415</x:v>
      </x:c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1" t="str">
        <x:v>enet</x:v>
      </x:c>
      <x:c r="B8" s="74" t="n">
        <x:v>3.4343503620201714</x:v>
      </x:c>
      <x:c r="C8" s="74" t="n">
        <x:v>4.543991872079953</x:v>
      </x:c>
      <x:c r="D8" s="74" t="n">
        <x:v>57.6271186440678</x:v>
      </x:c>
      <x:c r="E8" s="74" t="n">
        <x:v>-0.4171283335555962</x:v>
      </x:c>
      <x:c r="F8" s="74" t="n">
        <x:v>-0.02128725626256688</x:v>
      </x:c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1" t="str">
        <x:v>ridge</x:v>
      </x:c>
      <x:c r="B9" s="74" t="n">
        <x:v>4.2603423344349265</x:v>
      </x:c>
      <x:c r="C9" s="74" t="n">
        <x:v>6.652548248298963</x:v>
      </x:c>
      <x:c r="D9" s="74" t="n">
        <x:v>61.016949152542374</x:v>
      </x:c>
      <x:c r="E9" s="74" t="n">
        <x:v>-0.1528523732311717</x:v>
      </x:c>
      <x:c r="F9" s="74" t="n">
        <x:v>-0.0752593222004818</x:v>
      </x:c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conditionalFormatting sqref="B2:B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2" hidden="0" customWidth="1"/>
    <x:col min="4" max="4" width="44" hidden="0" customWidth="1"/>
  </x:cols>
  <x:sheetData>
    <x:row r="1">
      <x:c r="A1" s="76" t="str">
        <x:v>October 2026 Forecast — Latest Completed Session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32" t="str">
        <x:v>Component</x:v>
      </x:c>
      <x:c r="B3" s="32" t="str">
        <x:v>Forecast return %</x:v>
      </x:c>
      <x:c r="C3" s="32" t="str">
        <x:v>Adaptive weight</x:v>
      </x:c>
      <x:c r="D3" s="32" t="str">
        <x:v>Weighted contribution</x:v>
      </x:c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51" t="str">
        <x:v>seasonal</x:v>
      </x:c>
      <x:c r="B4" s="54" t="n">
        <x:v>1.7000000000000002</x:v>
      </x:c>
      <x:c r="C4" s="57" t="n">
        <x:v>0.1418117972299056</x:v>
      </x:c>
      <x:c r="D4" s="54" t="n">
        <x:v>0.24108005529083956</x:v>
      </x:c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51" t="str">
        <x:v>ridge</x:v>
      </x:c>
      <x:c r="B5" s="54" t="n">
        <x:v>0.7665359810140656</x:v>
      </x:c>
      <x:c r="C5" s="57" t="n">
        <x:v>0.14325112104746102</x:v>
      </x:c>
      <x:c r="D5" s="54" t="n">
        <x:v>0.1098071386034802</x:v>
      </x:c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1" t="str">
        <x:v>ElasticNet</x:v>
      </x:c>
      <x:c r="B6" s="54" t="n">
        <x:v>1.0849995480289563</x:v>
      </x:c>
      <x:c r="C6" s="57" t="n">
        <x:v>0.14902164304145943</x:v>
      </x:c>
      <x:c r="D6" s="54" t="n">
        <x:v>0.16168841534651593</x:v>
      </x:c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1" t="str">
        <x:v>ExtraTrees</x:v>
      </x:c>
      <x:c r="B7" s="54" t="n">
        <x:v>0.756183952824745</x:v>
      </x:c>
      <x:c r="C7" s="57" t="n">
        <x:v>0.13823999739276743</x:v>
      </x:c>
      <x:c r="D7" s="54" t="n">
        <x:v>0.10453486766694532</x:v>
      </x:c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1" t="str">
        <x:v>HistGB</x:v>
      </x:c>
      <x:c r="B8" s="54" t="n">
        <x:v>2.38396238858002</x:v>
      </x:c>
      <x:c r="C8" s="57" t="n">
        <x:v>0.1425588346891291</x:v>
      </x:c>
      <x:c r="D8" s="54" t="n">
        <x:v>0.33985490005868046</x:v>
      </x:c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1" t="str">
        <x:v>XGBoost</x:v>
      </x:c>
      <x:c r="B9" s="54" t="n">
        <x:v>1.8691666424274445</x:v>
      </x:c>
      <x:c r="C9" s="57" t="n">
        <x:v>0.14528719157387437</x:v>
      </x:c>
      <x:c r="D9" s="54" t="n">
        <x:v>0.2715659720618517</x:v>
      </x:c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 t="str">
        <x:v>Regime Analog</x:v>
      </x:c>
      <x:c r="B10" s="54" t="n">
        <x:v>0.44848484848484854</x:v>
      </x:c>
      <x:c r="C10" s="57" t="n">
        <x:v>0.13982941502540303</x:v>
      </x:c>
      <x:c r="D10" s="54" t="n">
        <x:v>0.06271137401139289</x:v>
      </x:c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3" t="str">
        <x:v>Nifty 50 close used</x:v>
      </x:c>
      <x:c r="B12" s="54" t="n">
        <x:v>22780.25</x:v>
      </x:c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3" t="str">
        <x:v>Blended forecast %</x:v>
      </x:c>
      <x:c r="B13" s="54" t="n">
        <x:v>1.2912427230397059</x:v>
      </x:c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3" t="str">
        <x:v>Implied October endpoint</x:v>
      </x:c>
      <x:c r="B14" s="56" t="n">
        <x:v>23074.398320415254</x:v>
      </x:c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3" t="str">
        <x:v>September MTD used</x:v>
      </x:c>
      <x:c r="B15" s="54" t="n">
        <x:v>-5.4</x:v>
      </x:c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3" t="str">
        <x:v>Current 52-week drawdown (approx.)</x:v>
      </x:c>
      <x:c r="B16" s="54" t="n">
        <x:v>-13.6</x:v>
      </x:c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3" t="str">
        <x:v>Forecast interpretation</x:v>
      </x:c>
      <x:c r="B17" s="59" t="str">
        <x:v>Weak positive central estimate; model uncertainty is much larger than the point estimate</x:v>
      </x:c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32" t="str">
        <x:v>State variable</x:v>
      </x:c>
      <x:c r="B20" s="32" t="str">
        <x:v>Approx. current value</x:v>
      </x:c>
      <x:c r="C20" s="32" t="str">
        <x:v>Interpretation</x:v>
      </x:c>
      <x:c r="D20" s="32" t="str">
        <x:v>Source note</x:v>
      </x:c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9" t="str">
        <x:v>Nifty 1m / Sep MTD return</x:v>
      </x:c>
      <x:c r="B21" s="77" t="n">
        <x:v>-5.4</x:v>
      </x:c>
      <x:c r="C21" s="59" t="str">
        <x:v>Meaningful recent weakness</x:v>
      </x:c>
      <x:c r="D21" s="59" t="str">
        <x:v>Aug 31 close 24,080.40 vs Sep 28 close 22,780.25</x:v>
      </x:c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9" t="str">
        <x:v>Nifty 6m momentum</x:v>
      </x:c>
      <x:c r="B22" s="77" t="n">
        <x:v>-3.48</x:v>
      </x:c>
      <x:c r="C22" s="59" t="str">
        <x:v>Medium-term trend weakened</x:v>
      </x:c>
      <x:c r="D22" s="59" t="str">
        <x:v>Derived from monthly return series</x:v>
      </x:c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9" t="str">
        <x:v>Nifty 12m momentum</x:v>
      </x:c>
      <x:c r="B23" s="77" t="n">
        <x:v>-9.94</x:v>
      </x:c>
      <x:c r="C23" s="59" t="str">
        <x:v>Long-term trend negative</x:v>
      </x:c>
      <x:c r="D23" s="59" t="str">
        <x:v>Derived from monthly return series</x:v>
      </x:c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9" t="str">
        <x:v>Volatility 6m (monthly-return std.)</x:v>
      </x:c>
      <x:c r="B24" s="77" t="n">
        <x:v>4</x:v>
      </x:c>
      <x:c r="C24" s="59" t="str">
        <x:v>Higher than calm regimes</x:v>
      </x:c>
      <x:c r="D24" s="59" t="str">
        <x:v>Derived from monthly return series</x:v>
      </x:c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9" t="str">
        <x:v>USDINR Sep partial return</x:v>
      </x:c>
      <x:c r="B25" s="77" t="n">
        <x:v>0.8</x:v>
      </x:c>
      <x:c r="C25" s="59" t="str">
        <x:v>Rupee pressure signal</x:v>
      </x:c>
      <x:c r="D25" s="59" t="str">
        <x:v>Latest available monthly source value</x:v>
      </x:c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9" t="str">
        <x:v>Brent Sep partial return</x:v>
      </x:c>
      <x:c r="B26" s="77" t="n">
        <x:v>8.9</x:v>
      </x:c>
      <x:c r="C26" s="59" t="str">
        <x:v>Oil shock / inflation risk proxy</x:v>
      </x:c>
      <x:c r="D26" s="59" t="str">
        <x:v>Latest available monthly source value</x:v>
      </x:c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9" t="str">
        <x:v>Gold Sep partial return</x:v>
      </x:c>
      <x:c r="B27" s="77" t="n">
        <x:v>-3.6</x:v>
      </x:c>
      <x:c r="C27" s="59" t="str">
        <x:v>Gold risk-off impulse weakened</x:v>
      </x:c>
      <x:c r="D27" s="59" t="str">
        <x:v>Latest available monthly source value</x:v>
      </x:c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9" t="str">
        <x:v>CBOE VIX Sep partial return</x:v>
      </x:c>
      <x:c r="B28" s="77" t="n">
        <x:v>-0.3</x:v>
      </x:c>
      <x:c r="C28" s="59" t="str">
        <x:v>Global vol broadly stable month-to-date</x:v>
      </x:c>
      <x:c r="D28" s="59" t="str">
        <x:v>Latest available monthly source value</x:v>
      </x:c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9" t="str">
        <x:v>India VIX Sep 28 close</x:v>
      </x:c>
      <x:c r="B29" s="77" t="n">
        <x:v>13.69</x:v>
      </x:c>
      <x:c r="C29" s="59" t="str">
        <x:v>Local implied-volatility level</x:v>
      </x:c>
      <x:c r="D29" s="59" t="str">
        <x:v>Business Standard, Sep 28 2026</x:v>
      </x:c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55" hidden="0" customWidth="1"/>
  </x:cols>
  <x:sheetData>
    <x:row r="1">
      <x:c r="A1" s="32" t="str">
        <x:v>Source</x:v>
      </x:c>
      <x:c r="B1" s="32" t="str">
        <x:v>URL</x:v>
      </x:c>
      <x:c r="C1" s="32" t="str">
        <x:v>Use</x:v>
      </x:c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9" t="str">
        <x:v>NIFTY 50 monthly returns</x:v>
      </x:c>
      <x:c r="B2" s="59" t="str">
        <x:v>https://returnsview.com/stock/NSEI/</x:v>
      </x:c>
      <x:c r="C2" s="59" t="str">
        <x:v>Primary monthly Nifty 50 return series used for targets/features</x:v>
      </x:c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9" t="str">
        <x:v>S&amp;P 500 monthly returns</x:v>
      </x:c>
      <x:c r="B3" s="59" t="str">
        <x:v>https://returnsview.com/stock/GSPC/</x:v>
      </x:c>
      <x:c r="C3" s="59" t="str">
        <x:v>Global risk/market factor</x:v>
      </x:c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59" t="str">
        <x:v>Brent crude monthly returns</x:v>
      </x:c>
      <x:c r="B4" s="59" t="str">
        <x:v>https://returnsview.com/stock/BZ-F/</x:v>
      </x:c>
      <x:c r="C4" s="59" t="str">
        <x:v>Commodity / inflation factor</x:v>
      </x:c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59" t="str">
        <x:v>Gold monthly returns</x:v>
      </x:c>
      <x:c r="B5" s="59" t="str">
        <x:v>https://returnsview.com/stock/GC-F/</x:v>
      </x:c>
      <x:c r="C5" s="59" t="str">
        <x:v>Defensive / macro factor</x:v>
      </x:c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9" t="str">
        <x:v>USDINR monthly returns</x:v>
      </x:c>
      <x:c r="B6" s="59" t="str">
        <x:v>https://returnsview.com/stock/USDINR-X/</x:v>
      </x:c>
      <x:c r="C6" s="59" t="str">
        <x:v>Currency factor</x:v>
      </x:c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9" t="str">
        <x:v>CBOE VIX monthly returns</x:v>
      </x:c>
      <x:c r="B7" s="59" t="str">
        <x:v>https://returnsview.com/stock/VIX/</x:v>
      </x:c>
      <x:c r="C7" s="59" t="str">
        <x:v>Global volatility factor</x:v>
      </x:c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9" t="str">
        <x:v>NSE Nifty 50 index page</x:v>
      </x:c>
      <x:c r="B8" s="59" t="str">
        <x:v>https://www.nseindia.com/static/products-services/indices-nifty50-index</x:v>
      </x:c>
      <x:c r="C8" s="59" t="str">
        <x:v>Index definition / official benchmark reference</x:v>
      </x:c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9" t="str">
        <x:v>Sep 28 2026 Nifty / India VIX</x:v>
      </x:c>
      <x:c r="B9" s="59" t="str">
        <x:v>https://www.business-standard.com/markets/capital-market-news/nifty-september-futures-trade-at-a-premium-126092800794_1.html</x:v>
      </x:c>
      <x:c r="C9" s="59" t="str">
        <x:v>Latest completed-session Nifty close and India VIX</x:v>
      </x:c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9" t="str">
        <x:v>Sep 29 2026 market status</x:v>
      </x:c>
      <x:c r="B10" s="59" t="str">
        <x:v>https://www.moneycontrol.com/markets/index-contribution-nifty-50-9/</x:v>
      </x:c>
      <x:c r="C10" s="59" t="str">
        <x:v>Confirms Sep 29 session is intraday; not used as a closing forecast origin</x:v>
      </x:c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pageMargins left="0.7" right="0.7" top="0.75" bottom="0.75" header="0.3" footer="0.3"/>
</x:worksheet>
</file>